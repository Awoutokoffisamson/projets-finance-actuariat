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CS\Downloads\"/>
    </mc:Choice>
  </mc:AlternateContent>
  <bookViews>
    <workbookView xWindow="0" yWindow="0" windowWidth="20490" windowHeight="7455" tabRatio="500" activeTab="4"/>
  </bookViews>
  <sheets>
    <sheet name="Simulateur" sheetId="1" r:id="rId1"/>
    <sheet name="Projection" sheetId="2" r:id="rId2"/>
    <sheet name="Calculs" sheetId="3" r:id="rId3"/>
    <sheet name="Commutation" sheetId="4" r:id="rId4"/>
    <sheet name="Tables_CIMA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4" i="4" l="1"/>
  <c r="C64" i="4"/>
  <c r="B64" i="4"/>
  <c r="A64" i="4"/>
  <c r="E64" i="4" s="1"/>
  <c r="H64" i="4" s="1"/>
  <c r="D63" i="4"/>
  <c r="C63" i="4"/>
  <c r="B63" i="4"/>
  <c r="A63" i="4"/>
  <c r="E63" i="4" s="1"/>
  <c r="H63" i="4" s="1"/>
  <c r="D62" i="4"/>
  <c r="C62" i="4"/>
  <c r="B62" i="4"/>
  <c r="A62" i="4"/>
  <c r="E62" i="4" s="1"/>
  <c r="H62" i="4" s="1"/>
  <c r="D61" i="4"/>
  <c r="C61" i="4"/>
  <c r="B61" i="4"/>
  <c r="A61" i="4"/>
  <c r="E61" i="4" s="1"/>
  <c r="D60" i="4"/>
  <c r="C60" i="4"/>
  <c r="B60" i="4"/>
  <c r="A60" i="4"/>
  <c r="E60" i="4" s="1"/>
  <c r="D59" i="4"/>
  <c r="C59" i="4"/>
  <c r="B59" i="4"/>
  <c r="A59" i="4"/>
  <c r="E59" i="4" s="1"/>
  <c r="D58" i="4"/>
  <c r="C58" i="4"/>
  <c r="B58" i="4"/>
  <c r="A58" i="4"/>
  <c r="E58" i="4" s="1"/>
  <c r="D57" i="4"/>
  <c r="C57" i="4"/>
  <c r="B57" i="4"/>
  <c r="A57" i="4"/>
  <c r="E57" i="4" s="1"/>
  <c r="H57" i="4" s="1"/>
  <c r="D56" i="4"/>
  <c r="C56" i="4"/>
  <c r="B56" i="4"/>
  <c r="A56" i="4"/>
  <c r="E56" i="4" s="1"/>
  <c r="H56" i="4" s="1"/>
  <c r="D55" i="4"/>
  <c r="C55" i="4"/>
  <c r="B55" i="4"/>
  <c r="A55" i="4"/>
  <c r="E55" i="4" s="1"/>
  <c r="H55" i="4" s="1"/>
  <c r="D54" i="4"/>
  <c r="C54" i="4"/>
  <c r="B54" i="4"/>
  <c r="A54" i="4"/>
  <c r="E54" i="4" s="1"/>
  <c r="H54" i="4" s="1"/>
  <c r="D53" i="4"/>
  <c r="C53" i="4"/>
  <c r="B53" i="4"/>
  <c r="A53" i="4"/>
  <c r="E53" i="4" s="1"/>
  <c r="D52" i="4"/>
  <c r="C52" i="4"/>
  <c r="B52" i="4"/>
  <c r="A52" i="4"/>
  <c r="E52" i="4" s="1"/>
  <c r="H52" i="4" s="1"/>
  <c r="D51" i="4"/>
  <c r="C51" i="4"/>
  <c r="B51" i="4"/>
  <c r="A51" i="4"/>
  <c r="E51" i="4" s="1"/>
  <c r="H51" i="4" s="1"/>
  <c r="D50" i="4"/>
  <c r="C50" i="4"/>
  <c r="B50" i="4"/>
  <c r="A50" i="4"/>
  <c r="E50" i="4" s="1"/>
  <c r="H50" i="4" s="1"/>
  <c r="D49" i="4"/>
  <c r="C49" i="4"/>
  <c r="B49" i="4"/>
  <c r="A49" i="4"/>
  <c r="E49" i="4" s="1"/>
  <c r="H49" i="4" s="1"/>
  <c r="D48" i="4"/>
  <c r="C48" i="4"/>
  <c r="B48" i="4"/>
  <c r="A48" i="4"/>
  <c r="E48" i="4" s="1"/>
  <c r="D47" i="4"/>
  <c r="C47" i="4"/>
  <c r="B47" i="4"/>
  <c r="A47" i="4"/>
  <c r="E47" i="4" s="1"/>
  <c r="D46" i="4"/>
  <c r="C46" i="4"/>
  <c r="B46" i="4"/>
  <c r="A46" i="4"/>
  <c r="E46" i="4" s="1"/>
  <c r="H46" i="4" s="1"/>
  <c r="D45" i="4"/>
  <c r="C45" i="4"/>
  <c r="B45" i="4"/>
  <c r="A45" i="4"/>
  <c r="E45" i="4" s="1"/>
  <c r="D44" i="4"/>
  <c r="C44" i="4"/>
  <c r="B44" i="4"/>
  <c r="A44" i="4"/>
  <c r="E44" i="4" s="1"/>
  <c r="D43" i="4"/>
  <c r="C43" i="4"/>
  <c r="B43" i="4"/>
  <c r="A43" i="4"/>
  <c r="E43" i="4" s="1"/>
  <c r="D42" i="4"/>
  <c r="C42" i="4"/>
  <c r="B42" i="4"/>
  <c r="A42" i="4"/>
  <c r="E42" i="4" s="1"/>
  <c r="D41" i="4"/>
  <c r="C41" i="4"/>
  <c r="B41" i="4"/>
  <c r="A41" i="4"/>
  <c r="E41" i="4" s="1"/>
  <c r="D40" i="4"/>
  <c r="C40" i="4"/>
  <c r="B40" i="4"/>
  <c r="A40" i="4"/>
  <c r="E40" i="4" s="1"/>
  <c r="D39" i="4"/>
  <c r="C39" i="4"/>
  <c r="B39" i="4"/>
  <c r="A39" i="4"/>
  <c r="E39" i="4" s="1"/>
  <c r="D38" i="4"/>
  <c r="C38" i="4"/>
  <c r="B38" i="4"/>
  <c r="A38" i="4"/>
  <c r="E38" i="4" s="1"/>
  <c r="D37" i="4"/>
  <c r="C37" i="4"/>
  <c r="B37" i="4"/>
  <c r="A37" i="4"/>
  <c r="E37" i="4" s="1"/>
  <c r="D36" i="4"/>
  <c r="C36" i="4"/>
  <c r="B36" i="4"/>
  <c r="A36" i="4"/>
  <c r="E36" i="4" s="1"/>
  <c r="H36" i="4" s="1"/>
  <c r="D35" i="4"/>
  <c r="C35" i="4"/>
  <c r="B35" i="4"/>
  <c r="A35" i="4"/>
  <c r="E35" i="4" s="1"/>
  <c r="H35" i="4" s="1"/>
  <c r="D34" i="4"/>
  <c r="C34" i="4"/>
  <c r="B34" i="4"/>
  <c r="A34" i="4"/>
  <c r="E34" i="4" s="1"/>
  <c r="H34" i="4" s="1"/>
  <c r="D33" i="4"/>
  <c r="C33" i="4"/>
  <c r="B33" i="4"/>
  <c r="A33" i="4"/>
  <c r="E33" i="4" s="1"/>
  <c r="H33" i="4" s="1"/>
  <c r="D32" i="4"/>
  <c r="C32" i="4"/>
  <c r="B32" i="4"/>
  <c r="A32" i="4"/>
  <c r="E32" i="4" s="1"/>
  <c r="H32" i="4" s="1"/>
  <c r="D31" i="4"/>
  <c r="C31" i="4"/>
  <c r="B31" i="4"/>
  <c r="A31" i="4"/>
  <c r="E31" i="4" s="1"/>
  <c r="H31" i="4" s="1"/>
  <c r="D30" i="4"/>
  <c r="C30" i="4"/>
  <c r="B30" i="4"/>
  <c r="A30" i="4"/>
  <c r="E30" i="4" s="1"/>
  <c r="H30" i="4" s="1"/>
  <c r="D29" i="4"/>
  <c r="C29" i="4"/>
  <c r="B29" i="4"/>
  <c r="A29" i="4"/>
  <c r="E29" i="4" s="1"/>
  <c r="H29" i="4" s="1"/>
  <c r="D28" i="4"/>
  <c r="C28" i="4"/>
  <c r="B28" i="4"/>
  <c r="A28" i="4"/>
  <c r="E28" i="4" s="1"/>
  <c r="H28" i="4" s="1"/>
  <c r="D27" i="4"/>
  <c r="C27" i="4"/>
  <c r="B27" i="4"/>
  <c r="A27" i="4"/>
  <c r="E27" i="4" s="1"/>
  <c r="H27" i="4" s="1"/>
  <c r="D26" i="4"/>
  <c r="C26" i="4"/>
  <c r="B26" i="4"/>
  <c r="A26" i="4"/>
  <c r="E26" i="4" s="1"/>
  <c r="H26" i="4" s="1"/>
  <c r="D25" i="4"/>
  <c r="C25" i="4"/>
  <c r="B25" i="4"/>
  <c r="A25" i="4"/>
  <c r="E25" i="4" s="1"/>
  <c r="D24" i="4"/>
  <c r="C24" i="4"/>
  <c r="B24" i="4"/>
  <c r="A24" i="4"/>
  <c r="E24" i="4" s="1"/>
  <c r="H24" i="4" s="1"/>
  <c r="D23" i="4"/>
  <c r="C23" i="4"/>
  <c r="B23" i="4"/>
  <c r="A23" i="4"/>
  <c r="E23" i="4" s="1"/>
  <c r="D22" i="4"/>
  <c r="C22" i="4"/>
  <c r="B22" i="4"/>
  <c r="A22" i="4"/>
  <c r="E22" i="4" s="1"/>
  <c r="H22" i="4" s="1"/>
  <c r="D21" i="4"/>
  <c r="C21" i="4"/>
  <c r="B21" i="4"/>
  <c r="A21" i="4"/>
  <c r="E21" i="4" s="1"/>
  <c r="H21" i="4" s="1"/>
  <c r="D20" i="4"/>
  <c r="C20" i="4"/>
  <c r="B20" i="4"/>
  <c r="A20" i="4"/>
  <c r="E20" i="4" s="1"/>
  <c r="H20" i="4" s="1"/>
  <c r="D19" i="4"/>
  <c r="C19" i="4"/>
  <c r="B19" i="4"/>
  <c r="A19" i="4"/>
  <c r="E19" i="4" s="1"/>
  <c r="D18" i="4"/>
  <c r="C18" i="4"/>
  <c r="B18" i="4"/>
  <c r="A18" i="4"/>
  <c r="E18" i="4" s="1"/>
  <c r="D17" i="4"/>
  <c r="C17" i="4"/>
  <c r="B17" i="4"/>
  <c r="A17" i="4"/>
  <c r="E17" i="4" s="1"/>
  <c r="D16" i="4"/>
  <c r="C16" i="4"/>
  <c r="B16" i="4"/>
  <c r="A16" i="4"/>
  <c r="E16" i="4" s="1"/>
  <c r="D15" i="4"/>
  <c r="C15" i="4"/>
  <c r="B15" i="4"/>
  <c r="A15" i="4"/>
  <c r="E15" i="4" s="1"/>
  <c r="H15" i="4" s="1"/>
  <c r="D14" i="4"/>
  <c r="C14" i="4"/>
  <c r="B14" i="4"/>
  <c r="A14" i="4"/>
  <c r="E14" i="4" s="1"/>
  <c r="H14" i="4" s="1"/>
  <c r="D13" i="4"/>
  <c r="C13" i="4"/>
  <c r="B13" i="4"/>
  <c r="A13" i="4"/>
  <c r="E13" i="4" s="1"/>
  <c r="H13" i="4" s="1"/>
  <c r="D12" i="4"/>
  <c r="C12" i="4"/>
  <c r="B12" i="4"/>
  <c r="A12" i="4"/>
  <c r="E12" i="4" s="1"/>
  <c r="H12" i="4" s="1"/>
  <c r="D11" i="4"/>
  <c r="C11" i="4"/>
  <c r="B11" i="4"/>
  <c r="A11" i="4"/>
  <c r="E11" i="4" s="1"/>
  <c r="D10" i="4"/>
  <c r="C10" i="4"/>
  <c r="B10" i="4"/>
  <c r="A10" i="4"/>
  <c r="E10" i="4" s="1"/>
  <c r="D9" i="4"/>
  <c r="C9" i="4"/>
  <c r="B9" i="4"/>
  <c r="A9" i="4"/>
  <c r="E9" i="4" s="1"/>
  <c r="H9" i="4" s="1"/>
  <c r="D8" i="4"/>
  <c r="C8" i="4"/>
  <c r="B8" i="4"/>
  <c r="A8" i="4"/>
  <c r="E8" i="4" s="1"/>
  <c r="H8" i="4" s="1"/>
  <c r="D7" i="4"/>
  <c r="C7" i="4"/>
  <c r="B7" i="4"/>
  <c r="A7" i="4"/>
  <c r="E7" i="4" s="1"/>
  <c r="D6" i="4"/>
  <c r="C6" i="4"/>
  <c r="B6" i="4"/>
  <c r="A6" i="4"/>
  <c r="E6" i="4" s="1"/>
  <c r="H6" i="4" s="1"/>
  <c r="D5" i="4"/>
  <c r="C5" i="4"/>
  <c r="B5" i="4"/>
  <c r="A5" i="4"/>
  <c r="E5" i="4" s="1"/>
  <c r="H5" i="4" s="1"/>
  <c r="D4" i="4"/>
  <c r="C4" i="4"/>
  <c r="B4" i="4"/>
  <c r="A4" i="4"/>
  <c r="E4" i="4" s="1"/>
  <c r="H4" i="4" s="1"/>
  <c r="D46" i="3"/>
  <c r="E46" i="3" s="1"/>
  <c r="C46" i="3"/>
  <c r="C40" i="3"/>
  <c r="E30" i="3"/>
  <c r="B30" i="3"/>
  <c r="E29" i="3"/>
  <c r="B29" i="3"/>
  <c r="E28" i="3"/>
  <c r="B28" i="3"/>
  <c r="E27" i="3"/>
  <c r="B27" i="3"/>
  <c r="E26" i="3"/>
  <c r="B26" i="3"/>
  <c r="E25" i="3"/>
  <c r="B25" i="3"/>
  <c r="E24" i="3"/>
  <c r="B24" i="3"/>
  <c r="E23" i="3"/>
  <c r="B23" i="3"/>
  <c r="E22" i="3"/>
  <c r="B22" i="3"/>
  <c r="E21" i="3"/>
  <c r="B21" i="3"/>
  <c r="B15" i="2"/>
  <c r="B14" i="2"/>
  <c r="B13" i="2"/>
  <c r="B12" i="2"/>
  <c r="B11" i="2"/>
  <c r="B10" i="2"/>
  <c r="B9" i="2"/>
  <c r="B8" i="2"/>
  <c r="B7" i="2"/>
  <c r="B6" i="2"/>
  <c r="B5" i="2"/>
  <c r="H47" i="4" l="1"/>
  <c r="H61" i="4"/>
  <c r="C44" i="3"/>
  <c r="C22" i="3"/>
  <c r="H48" i="4"/>
  <c r="C36" i="3"/>
  <c r="H16" i="4"/>
  <c r="H18" i="4"/>
  <c r="H58" i="4"/>
  <c r="H59" i="4"/>
  <c r="C24" i="3"/>
  <c r="C26" i="3"/>
  <c r="C37" i="3"/>
  <c r="C41" i="3"/>
  <c r="C45" i="3"/>
  <c r="H38" i="4"/>
  <c r="H40" i="4"/>
  <c r="H41" i="4"/>
  <c r="H42" i="4"/>
  <c r="H44" i="4"/>
  <c r="H45" i="4"/>
  <c r="H53" i="4"/>
  <c r="H60" i="4"/>
  <c r="D21" i="3"/>
  <c r="F21" i="3" s="1"/>
  <c r="C28" i="3"/>
  <c r="C38" i="3"/>
  <c r="C42" i="3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G28" i="4" s="1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G64" i="4" s="1"/>
  <c r="H17" i="4"/>
  <c r="H19" i="4"/>
  <c r="B7" i="3" s="1"/>
  <c r="H37" i="4"/>
  <c r="H39" i="4"/>
  <c r="H43" i="4"/>
  <c r="D23" i="3"/>
  <c r="D27" i="3"/>
  <c r="F27" i="3" s="1"/>
  <c r="C39" i="3"/>
  <c r="C43" i="3"/>
  <c r="C23" i="3"/>
  <c r="D28" i="3"/>
  <c r="F28" i="3" s="1"/>
  <c r="G17" i="4"/>
  <c r="D24" i="3"/>
  <c r="F24" i="3" s="1"/>
  <c r="C27" i="3"/>
  <c r="H11" i="4"/>
  <c r="H23" i="4"/>
  <c r="H25" i="4"/>
  <c r="C21" i="3"/>
  <c r="D22" i="3"/>
  <c r="F22" i="3" s="1"/>
  <c r="H10" i="4"/>
  <c r="H7" i="4"/>
  <c r="D25" i="3"/>
  <c r="F25" i="3" s="1"/>
  <c r="D29" i="3"/>
  <c r="F29" i="3" s="1"/>
  <c r="D30" i="3"/>
  <c r="F30" i="3" s="1"/>
  <c r="C30" i="3"/>
  <c r="F23" i="3"/>
  <c r="C25" i="3"/>
  <c r="D26" i="3"/>
  <c r="F26" i="3" s="1"/>
  <c r="C29" i="3"/>
  <c r="B5" i="3"/>
  <c r="G63" i="4" l="1"/>
  <c r="G62" i="4"/>
  <c r="G61" i="4"/>
  <c r="G57" i="4"/>
  <c r="G53" i="4"/>
  <c r="G44" i="4"/>
  <c r="G15" i="4"/>
  <c r="G49" i="4"/>
  <c r="G33" i="4"/>
  <c r="G21" i="4"/>
  <c r="G13" i="4"/>
  <c r="G60" i="4"/>
  <c r="G56" i="4"/>
  <c r="G52" i="4"/>
  <c r="G48" i="4"/>
  <c r="G40" i="4"/>
  <c r="G36" i="4"/>
  <c r="G32" i="4"/>
  <c r="G24" i="4"/>
  <c r="G20" i="4"/>
  <c r="G16" i="4"/>
  <c r="G12" i="4"/>
  <c r="G8" i="4"/>
  <c r="G4" i="4"/>
  <c r="G41" i="4"/>
  <c r="G29" i="4"/>
  <c r="G5" i="4"/>
  <c r="G45" i="4"/>
  <c r="G59" i="4"/>
  <c r="G55" i="4"/>
  <c r="G51" i="4"/>
  <c r="G47" i="4"/>
  <c r="G43" i="4"/>
  <c r="G39" i="4"/>
  <c r="G35" i="4"/>
  <c r="G31" i="4"/>
  <c r="G27" i="4"/>
  <c r="G23" i="4"/>
  <c r="G19" i="4"/>
  <c r="G11" i="4"/>
  <c r="G7" i="4"/>
  <c r="G37" i="4"/>
  <c r="G25" i="4"/>
  <c r="G9" i="4"/>
  <c r="B4" i="3" s="1"/>
  <c r="B6" i="3" s="1"/>
  <c r="B8" i="3" s="1"/>
  <c r="B9" i="3" s="1"/>
  <c r="B12" i="3" s="1"/>
  <c r="G58" i="4"/>
  <c r="G54" i="4"/>
  <c r="G50" i="4"/>
  <c r="G46" i="4"/>
  <c r="G42" i="4"/>
  <c r="G38" i="4"/>
  <c r="G34" i="4"/>
  <c r="G30" i="4"/>
  <c r="G26" i="4"/>
  <c r="G22" i="4"/>
  <c r="G18" i="4"/>
  <c r="G14" i="4"/>
  <c r="G10" i="4"/>
  <c r="G6" i="4"/>
  <c r="F31" i="3"/>
  <c r="E4" i="1" l="1"/>
  <c r="B46" i="3"/>
  <c r="B14" i="3"/>
  <c r="B45" i="3" s="1"/>
  <c r="D14" i="2" s="1"/>
  <c r="E14" i="2" s="1"/>
  <c r="F14" i="2" s="1"/>
  <c r="B36" i="3"/>
  <c r="B53" i="3" s="1"/>
  <c r="B13" i="3"/>
  <c r="E5" i="1" s="1"/>
  <c r="B41" i="3"/>
  <c r="E13" i="1" s="1"/>
  <c r="F32" i="3"/>
  <c r="B51" i="3" s="1"/>
  <c r="B39" i="3"/>
  <c r="D8" i="2" s="1"/>
  <c r="E8" i="2" s="1"/>
  <c r="F8" i="2" s="1"/>
  <c r="B44" i="3"/>
  <c r="E6" i="1"/>
  <c r="B38" i="3"/>
  <c r="B42" i="3"/>
  <c r="D41" i="3" s="1"/>
  <c r="E41" i="3" s="1"/>
  <c r="E15" i="1"/>
  <c r="D15" i="2"/>
  <c r="E15" i="2" s="1"/>
  <c r="F15" i="2" s="1"/>
  <c r="D5" i="2" l="1"/>
  <c r="E5" i="2" s="1"/>
  <c r="F5" i="2" s="1"/>
  <c r="D10" i="2"/>
  <c r="E10" i="2" s="1"/>
  <c r="D45" i="3"/>
  <c r="E45" i="3" s="1"/>
  <c r="B15" i="3"/>
  <c r="B16" i="3" s="1"/>
  <c r="B40" i="3"/>
  <c r="D9" i="2" s="1"/>
  <c r="E9" i="2" s="1"/>
  <c r="F9" i="2" s="1"/>
  <c r="B43" i="3"/>
  <c r="D12" i="2" s="1"/>
  <c r="E12" i="2" s="1"/>
  <c r="F12" i="2" s="1"/>
  <c r="B37" i="3"/>
  <c r="D40" i="3"/>
  <c r="E40" i="3" s="1"/>
  <c r="E14" i="1"/>
  <c r="F10" i="2"/>
  <c r="D42" i="3"/>
  <c r="E42" i="3" s="1"/>
  <c r="D11" i="2"/>
  <c r="E11" i="2" s="1"/>
  <c r="F11" i="2" s="1"/>
  <c r="D44" i="3"/>
  <c r="E44" i="3" s="1"/>
  <c r="D13" i="2"/>
  <c r="E13" i="2" s="1"/>
  <c r="F13" i="2" s="1"/>
  <c r="D38" i="3"/>
  <c r="E38" i="3" s="1"/>
  <c r="D7" i="2"/>
  <c r="E7" i="2" s="1"/>
  <c r="F7" i="2" s="1"/>
  <c r="D37" i="3"/>
  <c r="E37" i="3" s="1"/>
  <c r="E7" i="1" l="1"/>
  <c r="D39" i="3"/>
  <c r="E39" i="3" s="1"/>
  <c r="D43" i="3"/>
  <c r="E43" i="3" s="1"/>
  <c r="B54" i="3"/>
  <c r="D6" i="2"/>
  <c r="E6" i="2" s="1"/>
  <c r="F6" i="2" s="1"/>
  <c r="D36" i="3"/>
  <c r="E36" i="3" s="1"/>
  <c r="C15" i="2"/>
  <c r="C11" i="2"/>
  <c r="C7" i="2"/>
  <c r="B17" i="3"/>
  <c r="B52" i="3" s="1"/>
  <c r="C14" i="2"/>
  <c r="C10" i="2"/>
  <c r="C6" i="2"/>
  <c r="C13" i="2"/>
  <c r="C9" i="2"/>
  <c r="C5" i="2"/>
  <c r="C12" i="2"/>
  <c r="C8" i="2"/>
  <c r="E9" i="1"/>
  <c r="E10" i="1" s="1"/>
  <c r="E8" i="1"/>
</calcChain>
</file>

<file path=xl/sharedStrings.xml><?xml version="1.0" encoding="utf-8"?>
<sst xmlns="http://schemas.openxmlformats.org/spreadsheetml/2006/main" count="86" uniqueCount="83">
  <si>
    <t>SIMULATEUR ASSURANCE VIE MIXTE : EPARGNE ETUDES/CAPITAL AVEC GARANTIE DECES</t>
  </si>
  <si>
    <t>DONNEES DU CONTRAT</t>
  </si>
  <si>
    <t>RESULTATS DE LA SIMULATION</t>
  </si>
  <si>
    <t>Prime mensuelle (FCFA, minimum 5 000)</t>
  </si>
  <si>
    <t>Capital garanti (deces ou terme, FCFA)</t>
  </si>
  <si>
    <t>Duree du contrat n (annees, 5 a 10)</t>
  </si>
  <si>
    <t>Prime pure unique PP (FCFA)</t>
  </si>
  <si>
    <t>Sexe de l’assure (H ou F)</t>
  </si>
  <si>
    <t>H</t>
  </si>
  <si>
    <t>Prime annuelle nette PA (FCFA/an)</t>
  </si>
  <si>
    <t>Age a la souscription (20 a 55 ans)</t>
  </si>
  <si>
    <t>Prime d’inventaire PI (FCFA/an)</t>
  </si>
  <si>
    <t>Prime commerciale PC (FCFA/an)</t>
  </si>
  <si>
    <t>HYPOTHESES TECHNIQUES</t>
  </si>
  <si>
    <t>Total des primes versees sur n annees (FCFA)</t>
  </si>
  <si>
    <t>Taux technique i</t>
  </si>
  <si>
    <t>Rapport capital garanti / primes versees</t>
  </si>
  <si>
    <t>Chargement d’inventaire delta</t>
  </si>
  <si>
    <t>Chargement commercial eta</t>
  </si>
  <si>
    <t>EPARGNE ET RACHAT</t>
  </si>
  <si>
    <t>Penalite de rachat anticipe</t>
  </si>
  <si>
    <t>Epargne acquise a mi-parcours (FCFA)</t>
  </si>
  <si>
    <t>Quotite maximale d’avance</t>
  </si>
  <si>
    <t>Valeur de rachat a mi-parcours (FCFA)</t>
  </si>
  <si>
    <t>Delai de carence avant rachat (annees)</t>
  </si>
  <si>
    <t>Capital exigible au terme (FCFA)</t>
  </si>
  <si>
    <t>PROJECTION ANNUELLE DU CONTRAT</t>
  </si>
  <si>
    <t>Annee k</t>
  </si>
  <si>
    <t>Age atteint</t>
  </si>
  <si>
    <t>Cumul des primes (FCFA)</t>
  </si>
  <si>
    <t>Epargne acquise PM(k) (FCFA)</t>
  </si>
  <si>
    <t>Valeur de rachat (FCFA)</t>
  </si>
  <si>
    <t>Avance maximale (FCFA)</t>
  </si>
  <si>
    <t>MOTEUR ACTUARIEL : VALEURS UNITAIRES, TARIFICATION, PROVISIONS ET CONTROLES</t>
  </si>
  <si>
    <t>1. VALEURS ACTUARIELLES PAR UNITE DE CAPITAL GARANTI</t>
  </si>
  <si>
    <t>A_deces</t>
  </si>
  <si>
    <t>A_survie</t>
  </si>
  <si>
    <t>A_mixte</t>
  </si>
  <si>
    <t>Rente-due temporaire a(x:n)</t>
  </si>
  <si>
    <t>Prime annuelle nette par unite PA_unit</t>
  </si>
  <si>
    <t>Prime commerciale annuelle par unite PC_unit</t>
  </si>
  <si>
    <t>2. TARIFICATION EN FCFA</t>
  </si>
  <si>
    <t>Capital garanti C</t>
  </si>
  <si>
    <t>Prime pure unique PP</t>
  </si>
  <si>
    <t>Prime annuelle nette PA</t>
  </si>
  <si>
    <t>Prime d’inventaire PI</t>
  </si>
  <si>
    <t>Prime commerciale PC</t>
  </si>
  <si>
    <t>Prime mensuelle recalculee (controle)</t>
  </si>
  <si>
    <t>3. COMPOSANTE DECES ANNEE PAR ANNEE (VERIFICATION)</t>
  </si>
  <si>
    <t>k</t>
  </si>
  <si>
    <t>Age x+k</t>
  </si>
  <si>
    <t>l_(x+k)</t>
  </si>
  <si>
    <t>d_(x+k)</t>
  </si>
  <si>
    <t>v^(k+0,5)</t>
  </si>
  <si>
    <t>phi_k</t>
  </si>
  <si>
    <t>A_deces directe</t>
  </si>
  <si>
    <t>Ecart contre la valeur par commutation (doit etre proche de zero)</t>
  </si>
  <si>
    <t>4. PROVISIONS MATHEMATIQUES ET RECURRENCE DE FACKLER</t>
  </si>
  <si>
    <t>PM(k) (FCFA)</t>
  </si>
  <si>
    <t>q_(x+k)</t>
  </si>
  <si>
    <t>Verification Fackler (FCFA)</t>
  </si>
  <si>
    <t>Ecart absolu</t>
  </si>
  <si>
    <t>5. CONTROLES DE SYNTHESE</t>
  </si>
  <si>
    <t>Ecart A_deces (calcul direct contre commutation)</t>
  </si>
  <si>
    <t>Prime mensuelle recalculee moins prime saisie (FCFA)</t>
  </si>
  <si>
    <t>PM(0), doit etre proche de zero (FCFA)</t>
  </si>
  <si>
    <t>Ecart maximal absolu de la recurrence de Fackler (FCFA)</t>
  </si>
  <si>
    <t>TABLE ACTIVE ET FONCTIONS DE COMMUTATION</t>
  </si>
  <si>
    <t>Age x</t>
  </si>
  <si>
    <t>l_x</t>
  </si>
  <si>
    <t>d_x</t>
  </si>
  <si>
    <t>q_x</t>
  </si>
  <si>
    <t>D_x</t>
  </si>
  <si>
    <t>C_x</t>
  </si>
  <si>
    <t>M_x</t>
  </si>
  <si>
    <t>N_x</t>
  </si>
  <si>
    <t>TABLES DE MORTALITE REGLEMENTAIRES CIMA H ET CIMA F</t>
  </si>
  <si>
    <t>l_x (H)</t>
  </si>
  <si>
    <t>d_x (H)</t>
  </si>
  <si>
    <t>q_x (H)</t>
  </si>
  <si>
    <t>l_x (F)</t>
  </si>
  <si>
    <t>d_x (F)</t>
  </si>
  <si>
    <t>q_x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</si>
</sst>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0.0000"/>
    <numFmt numFmtId="166" formatCode="0.000000"/>
    <numFmt numFmtId="167" formatCode="0.00000000"/>
    <numFmt numFmtId="168" formatCode="0.000E+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1F497D"/>
      <name val="Arial"/>
      <charset val="1"/>
    </font>
    <font>
      <sz val="10"/>
      <name val="Arial"/>
      <charset val="1"/>
    </font>
    <font>
      <b/>
      <sz val="10"/>
      <color rgb="FF0000C0"/>
      <name val="Arial"/>
      <charset val="1"/>
    </font>
    <font>
      <b/>
      <sz val="10"/>
      <name val="Arial"/>
      <charset val="1"/>
    </font>
    <font>
      <b/>
      <sz val="12"/>
      <color rgb="FF1F497D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BDD7EE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EAF1F8"/>
        <bgColor rgb="FFF2F2F2"/>
      </patternFill>
    </fill>
    <fill>
      <patternFill patternType="solid">
        <fgColor rgb="FFDCE6F1"/>
        <bgColor rgb="FFEAF1F8"/>
      </patternFill>
    </fill>
    <fill>
      <patternFill patternType="solid">
        <fgColor rgb="FFF2F2F2"/>
        <bgColor rgb="FFEAF1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0" borderId="1" xfId="0" applyFont="1" applyBorder="1"/>
    <xf numFmtId="3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3" fontId="6" fillId="5" borderId="2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/>
    <xf numFmtId="1" fontId="3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/>
    <xf numFmtId="166" fontId="3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7" fontId="3" fillId="0" borderId="1" xfId="0" applyNumberFormat="1" applyFont="1" applyBorder="1"/>
    <xf numFmtId="166" fontId="3" fillId="7" borderId="1" xfId="0" applyNumberFormat="1" applyFont="1" applyFill="1" applyBorder="1"/>
    <xf numFmtId="167" fontId="3" fillId="7" borderId="1" xfId="0" applyNumberFormat="1" applyFont="1" applyFill="1" applyBorder="1"/>
    <xf numFmtId="166" fontId="5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68" fontId="3" fillId="0" borderId="1" xfId="0" applyNumberFormat="1" applyFont="1" applyBorder="1"/>
    <xf numFmtId="165" fontId="3" fillId="7" borderId="1" xfId="0" applyNumberFormat="1" applyFont="1" applyFill="1" applyBorder="1"/>
    <xf numFmtId="168" fontId="3" fillId="7" borderId="1" xfId="0" applyNumberFormat="1" applyFont="1" applyFill="1" applyBorder="1"/>
    <xf numFmtId="4" fontId="3" fillId="0" borderId="1" xfId="0" applyNumberFormat="1" applyFont="1" applyBorder="1"/>
    <xf numFmtId="4" fontId="3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0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zoomScaleNormal="100" workbookViewId="0">
      <selection activeCell="A16" sqref="A16"/>
    </sheetView>
  </sheetViews>
  <sheetFormatPr baseColWidth="10" defaultColWidth="8.7109375" defaultRowHeight="15" x14ac:dyDescent="0.25"/>
  <cols>
    <col min="1" max="1" width="40" customWidth="1"/>
    <col min="2" max="2" width="13" customWidth="1"/>
    <col min="3" max="3" width="2" customWidth="1"/>
    <col min="4" max="4" width="42" customWidth="1"/>
    <col min="5" max="5" width="15" customWidth="1"/>
  </cols>
  <sheetData>
    <row r="1" spans="1:5" ht="24" customHeight="1" x14ac:dyDescent="0.25">
      <c r="A1" s="2" t="s">
        <v>0</v>
      </c>
      <c r="B1" s="2"/>
      <c r="C1" s="2"/>
      <c r="D1" s="2"/>
      <c r="E1" s="2"/>
    </row>
    <row r="3" spans="1:5" x14ac:dyDescent="0.25">
      <c r="A3" s="1" t="s">
        <v>1</v>
      </c>
      <c r="B3" s="1"/>
      <c r="D3" s="1" t="s">
        <v>2</v>
      </c>
      <c r="E3" s="1"/>
    </row>
    <row r="4" spans="1:5" ht="21.75" customHeight="1" x14ac:dyDescent="0.25">
      <c r="A4" s="3" t="s">
        <v>3</v>
      </c>
      <c r="B4" s="4">
        <v>5000</v>
      </c>
      <c r="D4" s="5" t="s">
        <v>4</v>
      </c>
      <c r="E4" s="6">
        <f>Calculs!B12</f>
        <v>556441.25910608226</v>
      </c>
    </row>
    <row r="5" spans="1:5" x14ac:dyDescent="0.25">
      <c r="A5" s="3" t="s">
        <v>5</v>
      </c>
      <c r="B5" s="7">
        <v>10</v>
      </c>
      <c r="D5" s="3" t="s">
        <v>6</v>
      </c>
      <c r="E5" s="8">
        <f>Calculs!B13</f>
        <v>395915.11813770799</v>
      </c>
    </row>
    <row r="6" spans="1:5" x14ac:dyDescent="0.25">
      <c r="A6" s="3" t="s">
        <v>7</v>
      </c>
      <c r="B6" s="9" t="s">
        <v>8</v>
      </c>
      <c r="D6" s="3" t="s">
        <v>9</v>
      </c>
      <c r="E6" s="8">
        <f>Calculs!B14</f>
        <v>46363.636363636368</v>
      </c>
    </row>
    <row r="7" spans="1:5" x14ac:dyDescent="0.25">
      <c r="A7" s="3" t="s">
        <v>10</v>
      </c>
      <c r="B7" s="7">
        <v>25</v>
      </c>
      <c r="D7" s="3" t="s">
        <v>11</v>
      </c>
      <c r="E7" s="8">
        <f>Calculs!B15</f>
        <v>51000.000000000007</v>
      </c>
    </row>
    <row r="8" spans="1:5" x14ac:dyDescent="0.25">
      <c r="D8" s="3" t="s">
        <v>12</v>
      </c>
      <c r="E8" s="8">
        <f>Calculs!B16</f>
        <v>60000.000000000007</v>
      </c>
    </row>
    <row r="9" spans="1:5" x14ac:dyDescent="0.25">
      <c r="A9" s="1" t="s">
        <v>13</v>
      </c>
      <c r="B9" s="1"/>
      <c r="D9" s="3" t="s">
        <v>14</v>
      </c>
      <c r="E9" s="8">
        <f>Simulateur!$B$5*Calculs!B16</f>
        <v>600000.00000000012</v>
      </c>
    </row>
    <row r="10" spans="1:5" x14ac:dyDescent="0.25">
      <c r="A10" s="3" t="s">
        <v>15</v>
      </c>
      <c r="B10" s="10">
        <v>3.5000000000000003E-2</v>
      </c>
      <c r="D10" s="3" t="s">
        <v>16</v>
      </c>
      <c r="E10" s="11">
        <f>E4/E9</f>
        <v>0.92740209851013689</v>
      </c>
    </row>
    <row r="11" spans="1:5" x14ac:dyDescent="0.25">
      <c r="A11" s="3" t="s">
        <v>17</v>
      </c>
      <c r="B11" s="10">
        <v>0.1</v>
      </c>
    </row>
    <row r="12" spans="1:5" x14ac:dyDescent="0.25">
      <c r="A12" s="3" t="s">
        <v>18</v>
      </c>
      <c r="B12" s="10">
        <v>0.15</v>
      </c>
      <c r="D12" s="1" t="s">
        <v>19</v>
      </c>
      <c r="E12" s="1"/>
    </row>
    <row r="13" spans="1:5" x14ac:dyDescent="0.25">
      <c r="A13" s="3" t="s">
        <v>20</v>
      </c>
      <c r="B13" s="10">
        <v>0.05</v>
      </c>
      <c r="D13" s="3" t="s">
        <v>21</v>
      </c>
      <c r="E13" s="8">
        <f>INDEX(Calculs!B36:B46,MATCH(ROUND(Simulateur!$B$5/2,0),Calculs!A36:A46,0))</f>
        <v>253143.33586623351</v>
      </c>
    </row>
    <row r="14" spans="1:5" x14ac:dyDescent="0.25">
      <c r="A14" s="3" t="s">
        <v>22</v>
      </c>
      <c r="B14" s="10">
        <v>0.8</v>
      </c>
      <c r="D14" s="3" t="s">
        <v>23</v>
      </c>
      <c r="E14" s="8">
        <f>INDEX(Projection!E5:E15,MATCH(ROUND(Simulateur!$B$5/2,0),Projection!A5:A15,0))</f>
        <v>240486.16907292182</v>
      </c>
    </row>
    <row r="15" spans="1:5" x14ac:dyDescent="0.25">
      <c r="A15" s="3" t="s">
        <v>24</v>
      </c>
      <c r="B15" s="7">
        <v>2</v>
      </c>
      <c r="D15" s="3" t="s">
        <v>25</v>
      </c>
      <c r="E15" s="8">
        <f>INDEX(Calculs!B36:B46,MATCH(Simulateur!$B$5,Calculs!A36:A46,0))</f>
        <v>556441.25910608226</v>
      </c>
    </row>
  </sheetData>
  <mergeCells count="5">
    <mergeCell ref="A1:E1"/>
    <mergeCell ref="A3:B3"/>
    <mergeCell ref="D3:E3"/>
    <mergeCell ref="A9:B9"/>
    <mergeCell ref="D12:E12"/>
  </mergeCells>
  <dataValidations count="4">
    <dataValidation type="whole" operator="greaterThanOrEqual" errorTitle="Prime invalide" error="La prime mensuelle doit etre un entier superieur ou egal a 5 000 FCFA." sqref="B4">
      <formula1>5000</formula1>
      <formula2>0</formula2>
    </dataValidation>
    <dataValidation type="whole" errorTitle="Duree invalide" error="La duree doit etre comprise entre 5 et 10 ans." sqref="B5">
      <formula1>5</formula1>
      <formula2>10</formula2>
    </dataValidation>
    <dataValidation type="list" errorTitle="Sexe invalide" error="Saisir H ou F." sqref="B6">
      <formula1>"H,F"</formula1>
      <formula2>0</formula2>
    </dataValidation>
    <dataValidation type="whole" errorTitle="Age invalide" error="L’age a la souscription doit etre compris entre 20 et 55 ans." sqref="B7">
      <formula1>20</formula1>
      <formula2>55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9" customWidth="1"/>
    <col min="2" max="2" width="11" customWidth="1"/>
    <col min="3" max="3" width="22" customWidth="1"/>
    <col min="4" max="4" width="26" customWidth="1"/>
    <col min="5" max="6" width="22" customWidth="1"/>
  </cols>
  <sheetData>
    <row r="1" spans="1:6" ht="24" customHeight="1" x14ac:dyDescent="0.25">
      <c r="A1" s="2" t="s">
        <v>26</v>
      </c>
      <c r="B1" s="2"/>
      <c r="C1" s="2"/>
      <c r="D1" s="2"/>
      <c r="E1" s="2"/>
      <c r="F1" s="2"/>
    </row>
    <row r="4" spans="1:6" ht="27.75" customHeight="1" x14ac:dyDescent="0.25">
      <c r="A4" s="12" t="s">
        <v>27</v>
      </c>
      <c r="B4" s="12" t="s">
        <v>28</v>
      </c>
      <c r="C4" s="12" t="s">
        <v>29</v>
      </c>
      <c r="D4" s="12" t="s">
        <v>30</v>
      </c>
      <c r="E4" s="12" t="s">
        <v>31</v>
      </c>
      <c r="F4" s="12" t="s">
        <v>32</v>
      </c>
    </row>
    <row r="5" spans="1:6" x14ac:dyDescent="0.25">
      <c r="A5" s="13">
        <v>0</v>
      </c>
      <c r="B5" s="13">
        <f>IF(A5&gt;Simulateur!$B$5,"",Simulateur!$B$7+A5)</f>
        <v>25</v>
      </c>
      <c r="C5" s="14">
        <f>IF(A5&gt;Simulateur!$B$5,"",A5*Calculs!$B$16)</f>
        <v>0</v>
      </c>
      <c r="D5" s="14">
        <f>Calculs!B36</f>
        <v>-5.8207660913467407E-11</v>
      </c>
      <c r="E5" s="14">
        <f>IF(D5="","",IF(A5&lt;Simulateur!$B$15,0,IF(A5=Simulateur!$B$5,D5,D5*(1-Simulateur!$B$13))))</f>
        <v>0</v>
      </c>
      <c r="F5" s="14">
        <f>IF(E5="","",Simulateur!$B$14*E5)</f>
        <v>0</v>
      </c>
    </row>
    <row r="6" spans="1:6" x14ac:dyDescent="0.25">
      <c r="A6" s="15">
        <v>1</v>
      </c>
      <c r="B6" s="15">
        <f>IF(A6&gt;Simulateur!$B$5,"",Simulateur!$B$7+A6)</f>
        <v>26</v>
      </c>
      <c r="C6" s="16">
        <f>IF(A6&gt;Simulateur!$B$5,"",A6*Calculs!$B$16)</f>
        <v>60000.000000000007</v>
      </c>
      <c r="D6" s="16">
        <f>Calculs!B37</f>
        <v>47043.806579589378</v>
      </c>
      <c r="E6" s="16">
        <f>IF(D6="","",IF(A6&lt;Simulateur!$B$15,0,IF(A6=Simulateur!$B$5,D6,D6*(1-Simulateur!$B$13))))</f>
        <v>0</v>
      </c>
      <c r="F6" s="16">
        <f>IF(E6="","",Simulateur!$B$14*E6)</f>
        <v>0</v>
      </c>
    </row>
    <row r="7" spans="1:6" x14ac:dyDescent="0.25">
      <c r="A7" s="13">
        <v>2</v>
      </c>
      <c r="B7" s="13">
        <f>IF(A7&gt;Simulateur!$B$5,"",Simulateur!$B$7+A7)</f>
        <v>27</v>
      </c>
      <c r="C7" s="14">
        <f>IF(A7&gt;Simulateur!$B$5,"",A7*Calculs!$B$16)</f>
        <v>120000.00000000001</v>
      </c>
      <c r="D7" s="14">
        <f>Calculs!B38</f>
        <v>95805.68145875656</v>
      </c>
      <c r="E7" s="14">
        <f>IF(D7="","",IF(A7&lt;Simulateur!$B$15,0,IF(A7=Simulateur!$B$5,D7,D7*(1-Simulateur!$B$13))))</f>
        <v>91015.397385818724</v>
      </c>
      <c r="F7" s="14">
        <f>IF(E7="","",Simulateur!$B$14*E7)</f>
        <v>72812.317908654979</v>
      </c>
    </row>
    <row r="8" spans="1:6" x14ac:dyDescent="0.25">
      <c r="A8" s="15">
        <v>3</v>
      </c>
      <c r="B8" s="15">
        <f>IF(A8&gt;Simulateur!$B$5,"",Simulateur!$B$7+A8)</f>
        <v>28</v>
      </c>
      <c r="C8" s="16">
        <f>IF(A8&gt;Simulateur!$B$5,"",A8*Calculs!$B$16)</f>
        <v>180000.00000000003</v>
      </c>
      <c r="D8" s="16">
        <f>Calculs!B39</f>
        <v>146349.9773380172</v>
      </c>
      <c r="E8" s="16">
        <f>IF(D8="","",IF(A8&lt;Simulateur!$B$15,0,IF(A8=Simulateur!$B$5,D8,D8*(1-Simulateur!$B$13))))</f>
        <v>139032.47847111634</v>
      </c>
      <c r="F8" s="16">
        <f>IF(E8="","",Simulateur!$B$14*E8)</f>
        <v>111225.98277689307</v>
      </c>
    </row>
    <row r="9" spans="1:6" x14ac:dyDescent="0.25">
      <c r="A9" s="13">
        <v>4</v>
      </c>
      <c r="B9" s="13">
        <f>IF(A9&gt;Simulateur!$B$5,"",Simulateur!$B$7+A9)</f>
        <v>29</v>
      </c>
      <c r="C9" s="14">
        <f>IF(A9&gt;Simulateur!$B$5,"",A9*Calculs!$B$16)</f>
        <v>240000.00000000003</v>
      </c>
      <c r="D9" s="14">
        <f>Calculs!B40</f>
        <v>198743.46693112887</v>
      </c>
      <c r="E9" s="14">
        <f>IF(D9="","",IF(A9&lt;Simulateur!$B$15,0,IF(A9=Simulateur!$B$5,D9,D9*(1-Simulateur!$B$13))))</f>
        <v>188806.29358457241</v>
      </c>
      <c r="F9" s="14">
        <f>IF(E9="","",Simulateur!$B$14*E9)</f>
        <v>151045.03486765793</v>
      </c>
    </row>
    <row r="10" spans="1:6" x14ac:dyDescent="0.25">
      <c r="A10" s="15">
        <v>5</v>
      </c>
      <c r="B10" s="15">
        <f>IF(A10&gt;Simulateur!$B$5,"",Simulateur!$B$7+A10)</f>
        <v>30</v>
      </c>
      <c r="C10" s="16">
        <f>IF(A10&gt;Simulateur!$B$5,"",A10*Calculs!$B$16)</f>
        <v>300000.00000000006</v>
      </c>
      <c r="D10" s="16">
        <f>Calculs!B41</f>
        <v>253143.33586623351</v>
      </c>
      <c r="E10" s="16">
        <f>IF(D10="","",IF(A10&lt;Simulateur!$B$15,0,IF(A10=Simulateur!$B$5,D10,D10*(1-Simulateur!$B$13))))</f>
        <v>240486.16907292182</v>
      </c>
      <c r="F10" s="16">
        <f>IF(E10="","",Simulateur!$B$14*E10)</f>
        <v>192388.93525833747</v>
      </c>
    </row>
    <row r="11" spans="1:6" x14ac:dyDescent="0.25">
      <c r="A11" s="13">
        <v>6</v>
      </c>
      <c r="B11" s="13">
        <f>IF(A11&gt;Simulateur!$B$5,"",Simulateur!$B$7+A11)</f>
        <v>31</v>
      </c>
      <c r="C11" s="14">
        <f>IF(A11&gt;Simulateur!$B$5,"",A11*Calculs!$B$16)</f>
        <v>360000.00000000006</v>
      </c>
      <c r="D11" s="14">
        <f>Calculs!B42</f>
        <v>309477.95881693676</v>
      </c>
      <c r="E11" s="14">
        <f>IF(D11="","",IF(A11&lt;Simulateur!$B$15,0,IF(A11=Simulateur!$B$5,D11,D11*(1-Simulateur!$B$13))))</f>
        <v>294004.0608760899</v>
      </c>
      <c r="F11" s="14">
        <f>IF(E11="","",Simulateur!$B$14*E11)</f>
        <v>235203.24870087195</v>
      </c>
    </row>
    <row r="12" spans="1:6" x14ac:dyDescent="0.25">
      <c r="A12" s="15">
        <v>7</v>
      </c>
      <c r="B12" s="15">
        <f>IF(A12&gt;Simulateur!$B$5,"",Simulateur!$B$7+A12)</f>
        <v>32</v>
      </c>
      <c r="C12" s="16">
        <f>IF(A12&gt;Simulateur!$B$5,"",A12*Calculs!$B$16)</f>
        <v>420000.00000000006</v>
      </c>
      <c r="D12" s="16">
        <f>Calculs!B43</f>
        <v>367892.39179059397</v>
      </c>
      <c r="E12" s="16">
        <f>IF(D12="","",IF(A12&lt;Simulateur!$B$15,0,IF(A12=Simulateur!$B$5,D12,D12*(1-Simulateur!$B$13))))</f>
        <v>349497.77220106428</v>
      </c>
      <c r="F12" s="16">
        <f>IF(E12="","",Simulateur!$B$14*E12)</f>
        <v>279598.21776085143</v>
      </c>
    </row>
    <row r="13" spans="1:6" x14ac:dyDescent="0.25">
      <c r="A13" s="13">
        <v>8</v>
      </c>
      <c r="B13" s="13">
        <f>IF(A13&gt;Simulateur!$B$5,"",Simulateur!$B$7+A13)</f>
        <v>33</v>
      </c>
      <c r="C13" s="14">
        <f>IF(A13&gt;Simulateur!$B$5,"",A13*Calculs!$B$16)</f>
        <v>480000.00000000006</v>
      </c>
      <c r="D13" s="14">
        <f>Calculs!B44</f>
        <v>428464.96723199508</v>
      </c>
      <c r="E13" s="14">
        <f>IF(D13="","",IF(A13&lt;Simulateur!$B$15,0,IF(A13=Simulateur!$B$5,D13,D13*(1-Simulateur!$B$13))))</f>
        <v>407041.71887039533</v>
      </c>
      <c r="F13" s="14">
        <f>IF(E13="","",Simulateur!$B$14*E13)</f>
        <v>325633.37509631627</v>
      </c>
    </row>
    <row r="14" spans="1:6" x14ac:dyDescent="0.25">
      <c r="A14" s="15">
        <v>9</v>
      </c>
      <c r="B14" s="15">
        <f>IF(A14&gt;Simulateur!$B$5,"",Simulateur!$B$7+A14)</f>
        <v>34</v>
      </c>
      <c r="C14" s="16">
        <f>IF(A14&gt;Simulateur!$B$5,"",A14*Calculs!$B$16)</f>
        <v>540000.00000000012</v>
      </c>
      <c r="D14" s="16">
        <f>Calculs!B45</f>
        <v>491282.61158652266</v>
      </c>
      <c r="E14" s="16">
        <f>IF(D14="","",IF(A14&lt;Simulateur!$B$15,0,IF(A14=Simulateur!$B$5,D14,D14*(1-Simulateur!$B$13))))</f>
        <v>466718.48100719653</v>
      </c>
      <c r="F14" s="16">
        <f>IF(E14="","",Simulateur!$B$14*E14)</f>
        <v>373374.78480575723</v>
      </c>
    </row>
    <row r="15" spans="1:6" x14ac:dyDescent="0.25">
      <c r="A15" s="13">
        <v>10</v>
      </c>
      <c r="B15" s="13">
        <f>IF(A15&gt;Simulateur!$B$5,"",Simulateur!$B$7+A15)</f>
        <v>35</v>
      </c>
      <c r="C15" s="14">
        <f>IF(A15&gt;Simulateur!$B$5,"",A15*Calculs!$B$16)</f>
        <v>600000.00000000012</v>
      </c>
      <c r="D15" s="14">
        <f>Calculs!B46</f>
        <v>556441.25910608226</v>
      </c>
      <c r="E15" s="14">
        <f>IF(D15="","",IF(A15&lt;Simulateur!$B$15,0,IF(A15=Simulateur!$B$5,D15,D15*(1-Simulateur!$B$13))))</f>
        <v>556441.25910608226</v>
      </c>
      <c r="F15" s="14">
        <f>IF(E15="","",Simulateur!$B$14*E15)</f>
        <v>445153.00728486583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52" customWidth="1"/>
    <col min="2" max="2" width="16" customWidth="1"/>
    <col min="3" max="3" width="12" customWidth="1"/>
    <col min="4" max="4" width="22" customWidth="1"/>
    <col min="5" max="6" width="13" customWidth="1"/>
  </cols>
  <sheetData>
    <row r="1" spans="1:6" ht="24" customHeight="1" x14ac:dyDescent="0.25">
      <c r="A1" s="2" t="s">
        <v>33</v>
      </c>
      <c r="B1" s="2"/>
      <c r="C1" s="2"/>
      <c r="D1" s="2"/>
      <c r="E1" s="2"/>
      <c r="F1" s="2"/>
    </row>
    <row r="3" spans="1:6" x14ac:dyDescent="0.25">
      <c r="A3" s="1" t="s">
        <v>34</v>
      </c>
      <c r="B3" s="1"/>
      <c r="C3" s="1"/>
      <c r="D3" s="1"/>
      <c r="E3" s="1"/>
      <c r="F3" s="1"/>
    </row>
    <row r="4" spans="1:6" x14ac:dyDescent="0.25">
      <c r="A4" s="3" t="s">
        <v>35</v>
      </c>
      <c r="B4" s="17">
        <f>(VLOOKUP(Simulateur!$B$7,Commutation!$A$4:$H$64,7,FALSE())-VLOOKUP(Simulateur!$B$7+Simulateur!$B$5,Commutation!$A$4:$H$64,7,FALSE()))/VLOOKUP(Simulateur!$B$7,Commutation!$A$4:$H$64,5,FALSE())</f>
        <v>1.659562278242829E-2</v>
      </c>
    </row>
    <row r="5" spans="1:6" x14ac:dyDescent="0.25">
      <c r="A5" s="3" t="s">
        <v>36</v>
      </c>
      <c r="B5" s="17">
        <f>VLOOKUP(Simulateur!$B$7+Simulateur!$B$5,Commutation!$A$4:$H$64,5,FALSE())/VLOOKUP(Simulateur!$B$7,Commutation!$A$4:$H$64,5,FALSE())</f>
        <v>0.69491724880754324</v>
      </c>
    </row>
    <row r="6" spans="1:6" x14ac:dyDescent="0.25">
      <c r="A6" s="3" t="s">
        <v>37</v>
      </c>
      <c r="B6" s="17">
        <f>B4+B5</f>
        <v>0.71151287158997156</v>
      </c>
    </row>
    <row r="7" spans="1:6" x14ac:dyDescent="0.25">
      <c r="A7" s="3" t="s">
        <v>38</v>
      </c>
      <c r="B7" s="17">
        <f>(VLOOKUP(Simulateur!$B$7,Commutation!$A$4:$H$64,8,FALSE())-VLOOKUP(Simulateur!$B$7+Simulateur!$B$5,Commutation!$A$4:$H$64,8,FALSE()))/VLOOKUP(Simulateur!$B$7,Commutation!$A$4:$H$64,5,FALSE())</f>
        <v>8.5393456853231129</v>
      </c>
    </row>
    <row r="8" spans="1:6" x14ac:dyDescent="0.25">
      <c r="A8" s="3" t="s">
        <v>39</v>
      </c>
      <c r="B8" s="17">
        <f>B6/B7</f>
        <v>8.332170845511909E-2</v>
      </c>
    </row>
    <row r="9" spans="1:6" x14ac:dyDescent="0.25">
      <c r="A9" s="3" t="s">
        <v>40</v>
      </c>
      <c r="B9" s="17">
        <f>(1+Simulateur!$B$11)*B8/(1-Simulateur!$B$12)</f>
        <v>0.10782809329486</v>
      </c>
    </row>
    <row r="11" spans="1:6" x14ac:dyDescent="0.25">
      <c r="A11" s="1" t="s">
        <v>41</v>
      </c>
      <c r="B11" s="1"/>
      <c r="C11" s="1"/>
      <c r="D11" s="1"/>
      <c r="E11" s="1"/>
      <c r="F11" s="1"/>
    </row>
    <row r="12" spans="1:6" x14ac:dyDescent="0.25">
      <c r="A12" s="18" t="s">
        <v>42</v>
      </c>
      <c r="B12" s="19">
        <f>12*Simulateur!$B$4/B9</f>
        <v>556441.25910608226</v>
      </c>
    </row>
    <row r="13" spans="1:6" x14ac:dyDescent="0.25">
      <c r="A13" s="3" t="s">
        <v>43</v>
      </c>
      <c r="B13" s="8">
        <f>B12*B6</f>
        <v>395915.11813770799</v>
      </c>
    </row>
    <row r="14" spans="1:6" x14ac:dyDescent="0.25">
      <c r="A14" s="3" t="s">
        <v>44</v>
      </c>
      <c r="B14" s="8">
        <f>B12*B8</f>
        <v>46363.636363636368</v>
      </c>
    </row>
    <row r="15" spans="1:6" x14ac:dyDescent="0.25">
      <c r="A15" s="3" t="s">
        <v>45</v>
      </c>
      <c r="B15" s="8">
        <f>(1+Simulateur!$B$11)*B14</f>
        <v>51000.000000000007</v>
      </c>
    </row>
    <row r="16" spans="1:6" x14ac:dyDescent="0.25">
      <c r="A16" s="3" t="s">
        <v>46</v>
      </c>
      <c r="B16" s="8">
        <f>B15/(1-Simulateur!$B$12)</f>
        <v>60000.000000000007</v>
      </c>
    </row>
    <row r="17" spans="1:6" x14ac:dyDescent="0.25">
      <c r="A17" s="3" t="s">
        <v>47</v>
      </c>
      <c r="B17" s="8">
        <f>B16/12</f>
        <v>5000.0000000000009</v>
      </c>
    </row>
    <row r="19" spans="1:6" x14ac:dyDescent="0.25">
      <c r="A19" s="1" t="s">
        <v>48</v>
      </c>
      <c r="B19" s="1"/>
      <c r="C19" s="1"/>
      <c r="D19" s="1"/>
      <c r="E19" s="1"/>
      <c r="F19" s="1"/>
    </row>
    <row r="20" spans="1:6" x14ac:dyDescent="0.25">
      <c r="A20" s="20" t="s">
        <v>49</v>
      </c>
      <c r="B20" s="20" t="s">
        <v>50</v>
      </c>
      <c r="C20" s="20" t="s">
        <v>51</v>
      </c>
      <c r="D20" s="20" t="s">
        <v>52</v>
      </c>
      <c r="E20" s="20" t="s">
        <v>53</v>
      </c>
      <c r="F20" s="20" t="s">
        <v>54</v>
      </c>
    </row>
    <row r="21" spans="1:6" x14ac:dyDescent="0.25">
      <c r="A21" s="13">
        <v>0</v>
      </c>
      <c r="B21" s="13">
        <f>Simulateur!$B$7+A21</f>
        <v>25</v>
      </c>
      <c r="C21" s="14">
        <f>VLOOKUP(B21,Commutation!$A$4:$H$64,2,FALSE())</f>
        <v>975262</v>
      </c>
      <c r="D21" s="14">
        <f>VLOOKUP(B21,Commutation!$A$4:$H$64,3,FALSE())</f>
        <v>1771</v>
      </c>
      <c r="E21" s="21">
        <f>POWER(1/(1+Simulateur!$B$10),A21+0.5)</f>
        <v>0.98294637436598098</v>
      </c>
      <c r="F21" s="22">
        <f>IF(A21&lt;Simulateur!$B$5,D21*E21/VLOOKUP(Simulateur!$B$7,Commutation!$A$4:$H$64,2,FALSE()),0)</f>
        <v>1.7849542266612996E-3</v>
      </c>
    </row>
    <row r="22" spans="1:6" x14ac:dyDescent="0.25">
      <c r="A22" s="15">
        <v>1</v>
      </c>
      <c r="B22" s="15">
        <f>Simulateur!$B$7+A22</f>
        <v>26</v>
      </c>
      <c r="C22" s="16">
        <f>VLOOKUP(B22,Commutation!$A$4:$H$64,2,FALSE())</f>
        <v>973491</v>
      </c>
      <c r="D22" s="16">
        <f>VLOOKUP(B22,Commutation!$A$4:$H$64,3,FALSE())</f>
        <v>1803</v>
      </c>
      <c r="E22" s="23">
        <f>POWER(1/(1+Simulateur!$B$10),A22+0.5)</f>
        <v>0.94970664189949849</v>
      </c>
      <c r="F22" s="24">
        <f>IF(A22&lt;Simulateur!$B$5,D22*E22/VLOOKUP(Simulateur!$B$7,Commutation!$A$4:$H$64,2,FALSE()),0)</f>
        <v>1.7557549410771628E-3</v>
      </c>
    </row>
    <row r="23" spans="1:6" x14ac:dyDescent="0.25">
      <c r="A23" s="13">
        <v>2</v>
      </c>
      <c r="B23" s="13">
        <f>Simulateur!$B$7+A23</f>
        <v>27</v>
      </c>
      <c r="C23" s="14">
        <f>VLOOKUP(B23,Commutation!$A$4:$H$64,2,FALSE())</f>
        <v>971688</v>
      </c>
      <c r="D23" s="14">
        <f>VLOOKUP(B23,Commutation!$A$4:$H$64,3,FALSE())</f>
        <v>1841</v>
      </c>
      <c r="E23" s="21">
        <f>POWER(1/(1+Simulateur!$B$10),A23+0.5)</f>
        <v>0.91759095835700355</v>
      </c>
      <c r="F23" s="22">
        <f>IF(A23&lt;Simulateur!$B$5,D23*E23/VLOOKUP(Simulateur!$B$7,Commutation!$A$4:$H$64,2,FALSE()),0)</f>
        <v>1.7321344975352712E-3</v>
      </c>
    </row>
    <row r="24" spans="1:6" x14ac:dyDescent="0.25">
      <c r="A24" s="15">
        <v>3</v>
      </c>
      <c r="B24" s="15">
        <f>Simulateur!$B$7+A24</f>
        <v>28</v>
      </c>
      <c r="C24" s="16">
        <f>VLOOKUP(B24,Commutation!$A$4:$H$64,2,FALSE())</f>
        <v>969847</v>
      </c>
      <c r="D24" s="16">
        <f>VLOOKUP(B24,Commutation!$A$4:$H$64,3,FALSE())</f>
        <v>1888</v>
      </c>
      <c r="E24" s="23">
        <f>POWER(1/(1+Simulateur!$B$10),A24+0.5)</f>
        <v>0.88656131242222569</v>
      </c>
      <c r="F24" s="24">
        <f>IF(A24&lt;Simulateur!$B$5,D24*E24/VLOOKUP(Simulateur!$B$7,Commutation!$A$4:$H$64,2,FALSE()),0)</f>
        <v>1.7162852216667543E-3</v>
      </c>
    </row>
    <row r="25" spans="1:6" x14ac:dyDescent="0.25">
      <c r="A25" s="13">
        <v>4</v>
      </c>
      <c r="B25" s="13">
        <f>Simulateur!$B$7+A25</f>
        <v>29</v>
      </c>
      <c r="C25" s="14">
        <f>VLOOKUP(B25,Commutation!$A$4:$H$64,2,FALSE())</f>
        <v>967959</v>
      </c>
      <c r="D25" s="14">
        <f>VLOOKUP(B25,Commutation!$A$4:$H$64,3,FALSE())</f>
        <v>1678</v>
      </c>
      <c r="E25" s="21">
        <f>POWER(1/(1+Simulateur!$B$10),A25+0.5)</f>
        <v>0.85658097818572532</v>
      </c>
      <c r="F25" s="22">
        <f>IF(A25&lt;Simulateur!$B$5,D25*E25/VLOOKUP(Simulateur!$B$7,Commutation!$A$4:$H$64,2,FALSE()),0)</f>
        <v>1.4738017900786118E-3</v>
      </c>
    </row>
    <row r="26" spans="1:6" x14ac:dyDescent="0.25">
      <c r="A26" s="15">
        <v>5</v>
      </c>
      <c r="B26" s="15">
        <f>Simulateur!$B$7+A26</f>
        <v>30</v>
      </c>
      <c r="C26" s="16">
        <f>VLOOKUP(B26,Commutation!$A$4:$H$64,2,FALSE())</f>
        <v>966281</v>
      </c>
      <c r="D26" s="16">
        <f>VLOOKUP(B26,Commutation!$A$4:$H$64,3,FALSE())</f>
        <v>1927</v>
      </c>
      <c r="E26" s="23">
        <f>POWER(1/(1+Simulateur!$B$10),A26+0.5)</f>
        <v>0.8276144716770294</v>
      </c>
      <c r="F26" s="24">
        <f>IF(A26&lt;Simulateur!$B$5,D26*E26/VLOOKUP(Simulateur!$B$7,Commutation!$A$4:$H$64,2,FALSE()),0)</f>
        <v>1.6352663047690115E-3</v>
      </c>
    </row>
    <row r="27" spans="1:6" x14ac:dyDescent="0.25">
      <c r="A27" s="13">
        <v>6</v>
      </c>
      <c r="B27" s="13">
        <f>Simulateur!$B$7+A27</f>
        <v>31</v>
      </c>
      <c r="C27" s="14">
        <f>VLOOKUP(B27,Commutation!$A$4:$H$64,2,FALSE())</f>
        <v>964354</v>
      </c>
      <c r="D27" s="14">
        <f>VLOOKUP(B27,Commutation!$A$4:$H$64,3,FALSE())</f>
        <v>1964</v>
      </c>
      <c r="E27" s="21">
        <f>POWER(1/(1+Simulateur!$B$10),A27+0.5)</f>
        <v>0.79962750886669509</v>
      </c>
      <c r="F27" s="22">
        <f>IF(A27&lt;Simulateur!$B$5,D27*E27/VLOOKUP(Simulateur!$B$7,Commutation!$A$4:$H$64,2,FALSE()),0)</f>
        <v>1.6103041310070413E-3</v>
      </c>
    </row>
    <row r="28" spans="1:6" x14ac:dyDescent="0.25">
      <c r="A28" s="15">
        <v>7</v>
      </c>
      <c r="B28" s="15">
        <f>Simulateur!$B$7+A28</f>
        <v>32</v>
      </c>
      <c r="C28" s="16">
        <f>VLOOKUP(B28,Commutation!$A$4:$H$64,2,FALSE())</f>
        <v>962390</v>
      </c>
      <c r="D28" s="16">
        <f>VLOOKUP(B28,Commutation!$A$4:$H$64,3,FALSE())</f>
        <v>2028</v>
      </c>
      <c r="E28" s="23">
        <f>POWER(1/(1+Simulateur!$B$10),A28+0.5)</f>
        <v>0.77258696508859437</v>
      </c>
      <c r="F28" s="24">
        <f>IF(A28&lt;Simulateur!$B$5,D28*E28/VLOOKUP(Simulateur!$B$7,Commutation!$A$4:$H$64,2,FALSE()),0)</f>
        <v>1.6065491787844389E-3</v>
      </c>
    </row>
    <row r="29" spans="1:6" x14ac:dyDescent="0.25">
      <c r="A29" s="13">
        <v>8</v>
      </c>
      <c r="B29" s="13">
        <f>Simulateur!$B$7+A29</f>
        <v>33</v>
      </c>
      <c r="C29" s="14">
        <f>VLOOKUP(B29,Commutation!$A$4:$H$64,2,FALSE())</f>
        <v>960362</v>
      </c>
      <c r="D29" s="14">
        <f>VLOOKUP(B29,Commutation!$A$4:$H$64,3,FALSE())</f>
        <v>2118</v>
      </c>
      <c r="E29" s="21">
        <f>POWER(1/(1+Simulateur!$B$10),A29+0.5)</f>
        <v>0.74646083583439071</v>
      </c>
      <c r="F29" s="22">
        <f>IF(A29&lt;Simulateur!$B$5,D29*E29/VLOOKUP(Simulateur!$B$7,Commutation!$A$4:$H$64,2,FALSE()),0)</f>
        <v>1.6211069951430892E-3</v>
      </c>
    </row>
    <row r="30" spans="1:6" x14ac:dyDescent="0.25">
      <c r="A30" s="15">
        <v>9</v>
      </c>
      <c r="B30" s="15">
        <f>Simulateur!$B$7+A30</f>
        <v>34</v>
      </c>
      <c r="C30" s="16">
        <f>VLOOKUP(B30,Commutation!$A$4:$H$64,2,FALSE())</f>
        <v>958244</v>
      </c>
      <c r="D30" s="16">
        <f>VLOOKUP(B30,Commutation!$A$4:$H$64,3,FALSE())</f>
        <v>2244</v>
      </c>
      <c r="E30" s="23">
        <f>POWER(1/(1+Simulateur!$B$10),A30+0.5)</f>
        <v>0.72121819887380756</v>
      </c>
      <c r="F30" s="24">
        <f>IF(A30&lt;Simulateur!$B$5,D30*E30/VLOOKUP(Simulateur!$B$7,Commutation!$A$4:$H$64,2,FALSE()),0)</f>
        <v>1.6594654957055889E-3</v>
      </c>
    </row>
    <row r="31" spans="1:6" x14ac:dyDescent="0.25">
      <c r="A31" s="3" t="s">
        <v>55</v>
      </c>
      <c r="F31" s="25">
        <f>SUM(F21:F30)</f>
        <v>1.6595622782428272E-2</v>
      </c>
    </row>
    <row r="32" spans="1:6" x14ac:dyDescent="0.25">
      <c r="A32" s="3" t="s">
        <v>56</v>
      </c>
      <c r="F32" s="26">
        <f>F31-B4</f>
        <v>0</v>
      </c>
    </row>
    <row r="34" spans="1:6" x14ac:dyDescent="0.25">
      <c r="A34" s="1" t="s">
        <v>57</v>
      </c>
      <c r="B34" s="1"/>
      <c r="C34" s="1"/>
      <c r="D34" s="1"/>
      <c r="E34" s="1"/>
      <c r="F34" s="1"/>
    </row>
    <row r="35" spans="1:6" x14ac:dyDescent="0.25">
      <c r="A35" s="20" t="s">
        <v>27</v>
      </c>
      <c r="B35" s="20" t="s">
        <v>58</v>
      </c>
      <c r="C35" s="20" t="s">
        <v>59</v>
      </c>
      <c r="D35" s="20" t="s">
        <v>60</v>
      </c>
      <c r="E35" s="20" t="s">
        <v>61</v>
      </c>
    </row>
    <row r="36" spans="1:6" x14ac:dyDescent="0.25">
      <c r="A36" s="13">
        <v>0</v>
      </c>
      <c r="B36" s="14">
        <f>IF(A36&gt;Simulateur!$B$5,"",IF(A36=Simulateur!$B$5,$B$12,$B$12*((VLOOKUP(Simulateur!$B$7+A36,Commutation!$A$4:$H$64,7,FALSE())-VLOOKUP(Simulateur!$B$7+Simulateur!$B$5,Commutation!$A$4:$H$64,7,FALSE())+VLOOKUP(Simulateur!$B$7+Simulateur!$B$5,Commutation!$A$4:$H$64,5,FALSE()))/VLOOKUP(Simulateur!$B$7+A36,Commutation!$A$4:$H$64,5,FALSE()))-$B$14*(VLOOKUP(Simulateur!$B$7+A36,Commutation!$A$4:$H$64,8,FALSE())-VLOOKUP(Simulateur!$B$7+Simulateur!$B$5,Commutation!$A$4:$H$64,8,FALSE()))/VLOOKUP(Simulateur!$B$7+A36,Commutation!$A$4:$H$64,5,FALSE())))</f>
        <v>-5.8207660913467407E-11</v>
      </c>
      <c r="C36" s="21">
        <f>IF(A36&gt;=Simulateur!$B$5,"",VLOOKUP(Simulateur!$B$7+A36,Commutation!$A$4:$H$64,4,FALSE()))</f>
        <v>1.81592228549867E-3</v>
      </c>
      <c r="D36" s="27">
        <f>IF(A36&gt;=Simulateur!$B$5,"",(B36+$B$14)*(1+Simulateur!$B$10)-$B$12*C36*POWER(1+Simulateur!$B$10,0.5)-(1-C36)*B37)</f>
        <v>6.5483618527650833E-11</v>
      </c>
      <c r="E36" s="28">
        <f t="shared" ref="E36:E46" si="0">IF(D36="",0,ABS(D36))</f>
        <v>6.5483618527650833E-11</v>
      </c>
    </row>
    <row r="37" spans="1:6" x14ac:dyDescent="0.25">
      <c r="A37" s="15">
        <v>1</v>
      </c>
      <c r="B37" s="16">
        <f>IF(A37&gt;Simulateur!$B$5,"",IF(A37=Simulateur!$B$5,$B$12,$B$12*((VLOOKUP(Simulateur!$B$7+A37,Commutation!$A$4:$H$64,7,FALSE())-VLOOKUP(Simulateur!$B$7+Simulateur!$B$5,Commutation!$A$4:$H$64,7,FALSE())+VLOOKUP(Simulateur!$B$7+Simulateur!$B$5,Commutation!$A$4:$H$64,5,FALSE()))/VLOOKUP(Simulateur!$B$7+A37,Commutation!$A$4:$H$64,5,FALSE()))-$B$14*(VLOOKUP(Simulateur!$B$7+A37,Commutation!$A$4:$H$64,8,FALSE())-VLOOKUP(Simulateur!$B$7+Simulateur!$B$5,Commutation!$A$4:$H$64,8,FALSE()))/VLOOKUP(Simulateur!$B$7+A37,Commutation!$A$4:$H$64,5,FALSE())))</f>
        <v>47043.806579589378</v>
      </c>
      <c r="C37" s="23">
        <f>IF(A37&gt;=Simulateur!$B$5,"",VLOOKUP(Simulateur!$B$7+A37,Commutation!$A$4:$H$64,4,FALSE()))</f>
        <v>1.8520972458913299E-3</v>
      </c>
      <c r="D37" s="29">
        <f>IF(A37&gt;=Simulateur!$B$5,"",(B37+$B$14)*(1+Simulateur!$B$10)-$B$12*C37*POWER(1+Simulateur!$B$10,0.5)-(1-C37)*B38)</f>
        <v>-3.7834979593753815E-10</v>
      </c>
      <c r="E37" s="30">
        <f t="shared" si="0"/>
        <v>3.7834979593753815E-10</v>
      </c>
    </row>
    <row r="38" spans="1:6" x14ac:dyDescent="0.25">
      <c r="A38" s="13">
        <v>2</v>
      </c>
      <c r="B38" s="14">
        <f>IF(A38&gt;Simulateur!$B$5,"",IF(A38=Simulateur!$B$5,$B$12,$B$12*((VLOOKUP(Simulateur!$B$7+A38,Commutation!$A$4:$H$64,7,FALSE())-VLOOKUP(Simulateur!$B$7+Simulateur!$B$5,Commutation!$A$4:$H$64,7,FALSE())+VLOOKUP(Simulateur!$B$7+Simulateur!$B$5,Commutation!$A$4:$H$64,5,FALSE()))/VLOOKUP(Simulateur!$B$7+A38,Commutation!$A$4:$H$64,5,FALSE()))-$B$14*(VLOOKUP(Simulateur!$B$7+A38,Commutation!$A$4:$H$64,8,FALSE())-VLOOKUP(Simulateur!$B$7+Simulateur!$B$5,Commutation!$A$4:$H$64,8,FALSE()))/VLOOKUP(Simulateur!$B$7+A38,Commutation!$A$4:$H$64,5,FALSE())))</f>
        <v>95805.68145875656</v>
      </c>
      <c r="C38" s="21">
        <f>IF(A38&gt;=Simulateur!$B$5,"",VLOOKUP(Simulateur!$B$7+A38,Commutation!$A$4:$H$64,4,FALSE()))</f>
        <v>1.8946410782061699E-3</v>
      </c>
      <c r="D38" s="27">
        <f>IF(A38&gt;=Simulateur!$B$5,"",(B38+$B$14)*(1+Simulateur!$B$10)-$B$12*C38*POWER(1+Simulateur!$B$10,0.5)-(1-C38)*B39)</f>
        <v>-1.1641532182693481E-10</v>
      </c>
      <c r="E38" s="28">
        <f t="shared" si="0"/>
        <v>1.1641532182693481E-10</v>
      </c>
    </row>
    <row r="39" spans="1:6" x14ac:dyDescent="0.25">
      <c r="A39" s="15">
        <v>3</v>
      </c>
      <c r="B39" s="16">
        <f>IF(A39&gt;Simulateur!$B$5,"",IF(A39=Simulateur!$B$5,$B$12,$B$12*((VLOOKUP(Simulateur!$B$7+A39,Commutation!$A$4:$H$64,7,FALSE())-VLOOKUP(Simulateur!$B$7+Simulateur!$B$5,Commutation!$A$4:$H$64,7,FALSE())+VLOOKUP(Simulateur!$B$7+Simulateur!$B$5,Commutation!$A$4:$H$64,5,FALSE()))/VLOOKUP(Simulateur!$B$7+A39,Commutation!$A$4:$H$64,5,FALSE()))-$B$14*(VLOOKUP(Simulateur!$B$7+A39,Commutation!$A$4:$H$64,8,FALSE())-VLOOKUP(Simulateur!$B$7+Simulateur!$B$5,Commutation!$A$4:$H$64,8,FALSE()))/VLOOKUP(Simulateur!$B$7+A39,Commutation!$A$4:$H$64,5,FALSE())))</f>
        <v>146349.9773380172</v>
      </c>
      <c r="C39" s="23">
        <f>IF(A39&gt;=Simulateur!$B$5,"",VLOOKUP(Simulateur!$B$7+A39,Commutation!$A$4:$H$64,4,FALSE()))</f>
        <v>1.9466988091936201E-3</v>
      </c>
      <c r="D39" s="29">
        <f>IF(A39&gt;=Simulateur!$B$5,"",(B39+$B$14)*(1+Simulateur!$B$10)-$B$12*C39*POWER(1+Simulateur!$B$10,0.5)-(1-C39)*B40)</f>
        <v>-5.8207660913467407E-11</v>
      </c>
      <c r="E39" s="30">
        <f t="shared" si="0"/>
        <v>5.8207660913467407E-11</v>
      </c>
    </row>
    <row r="40" spans="1:6" x14ac:dyDescent="0.25">
      <c r="A40" s="13">
        <v>4</v>
      </c>
      <c r="B40" s="14">
        <f>IF(A40&gt;Simulateur!$B$5,"",IF(A40=Simulateur!$B$5,$B$12,$B$12*((VLOOKUP(Simulateur!$B$7+A40,Commutation!$A$4:$H$64,7,FALSE())-VLOOKUP(Simulateur!$B$7+Simulateur!$B$5,Commutation!$A$4:$H$64,7,FALSE())+VLOOKUP(Simulateur!$B$7+Simulateur!$B$5,Commutation!$A$4:$H$64,5,FALSE()))/VLOOKUP(Simulateur!$B$7+A40,Commutation!$A$4:$H$64,5,FALSE()))-$B$14*(VLOOKUP(Simulateur!$B$7+A40,Commutation!$A$4:$H$64,8,FALSE())-VLOOKUP(Simulateur!$B$7+Simulateur!$B$5,Commutation!$A$4:$H$64,8,FALSE()))/VLOOKUP(Simulateur!$B$7+A40,Commutation!$A$4:$H$64,5,FALSE())))</f>
        <v>198743.46693112887</v>
      </c>
      <c r="C40" s="21">
        <f>IF(A40&gt;=Simulateur!$B$5,"",VLOOKUP(Simulateur!$B$7+A40,Commutation!$A$4:$H$64,4,FALSE()))</f>
        <v>1.7335444993021401E-3</v>
      </c>
      <c r="D40" s="27">
        <f>IF(A40&gt;=Simulateur!$B$5,"",(B40+$B$14)*(1+Simulateur!$B$10)-$B$12*C40*POWER(1+Simulateur!$B$10,0.5)-(1-C40)*B41)</f>
        <v>-2.9103830456733704E-11</v>
      </c>
      <c r="E40" s="28">
        <f t="shared" si="0"/>
        <v>2.9103830456733704E-11</v>
      </c>
    </row>
    <row r="41" spans="1:6" x14ac:dyDescent="0.25">
      <c r="A41" s="15">
        <v>5</v>
      </c>
      <c r="B41" s="16">
        <f>IF(A41&gt;Simulateur!$B$5,"",IF(A41=Simulateur!$B$5,$B$12,$B$12*((VLOOKUP(Simulateur!$B$7+A41,Commutation!$A$4:$H$64,7,FALSE())-VLOOKUP(Simulateur!$B$7+Simulateur!$B$5,Commutation!$A$4:$H$64,7,FALSE())+VLOOKUP(Simulateur!$B$7+Simulateur!$B$5,Commutation!$A$4:$H$64,5,FALSE()))/VLOOKUP(Simulateur!$B$7+A41,Commutation!$A$4:$H$64,5,FALSE()))-$B$14*(VLOOKUP(Simulateur!$B$7+A41,Commutation!$A$4:$H$64,8,FALSE())-VLOOKUP(Simulateur!$B$7+Simulateur!$B$5,Commutation!$A$4:$H$64,8,FALSE()))/VLOOKUP(Simulateur!$B$7+A41,Commutation!$A$4:$H$64,5,FALSE())))</f>
        <v>253143.33586623351</v>
      </c>
      <c r="C41" s="23">
        <f>IF(A41&gt;=Simulateur!$B$5,"",VLOOKUP(Simulateur!$B$7+A41,Commutation!$A$4:$H$64,4,FALSE()))</f>
        <v>1.9942439104152902E-3</v>
      </c>
      <c r="D41" s="29">
        <f>IF(A41&gt;=Simulateur!$B$5,"",(B41+$B$14)*(1+Simulateur!$B$10)-$B$12*C41*POWER(1+Simulateur!$B$10,0.5)-(1-C41)*B42)</f>
        <v>0</v>
      </c>
      <c r="E41" s="30">
        <f t="shared" si="0"/>
        <v>0</v>
      </c>
    </row>
    <row r="42" spans="1:6" x14ac:dyDescent="0.25">
      <c r="A42" s="13">
        <v>6</v>
      </c>
      <c r="B42" s="14">
        <f>IF(A42&gt;Simulateur!$B$5,"",IF(A42=Simulateur!$B$5,$B$12,$B$12*((VLOOKUP(Simulateur!$B$7+A42,Commutation!$A$4:$H$64,7,FALSE())-VLOOKUP(Simulateur!$B$7+Simulateur!$B$5,Commutation!$A$4:$H$64,7,FALSE())+VLOOKUP(Simulateur!$B$7+Simulateur!$B$5,Commutation!$A$4:$H$64,5,FALSE()))/VLOOKUP(Simulateur!$B$7+A42,Commutation!$A$4:$H$64,5,FALSE()))-$B$14*(VLOOKUP(Simulateur!$B$7+A42,Commutation!$A$4:$H$64,8,FALSE())-VLOOKUP(Simulateur!$B$7+Simulateur!$B$5,Commutation!$A$4:$H$64,8,FALSE()))/VLOOKUP(Simulateur!$B$7+A42,Commutation!$A$4:$H$64,5,FALSE())))</f>
        <v>309477.95881693676</v>
      </c>
      <c r="C42" s="21">
        <f>IF(A42&gt;=Simulateur!$B$5,"",VLOOKUP(Simulateur!$B$7+A42,Commutation!$A$4:$H$64,4,FALSE()))</f>
        <v>2.0365965195353599E-3</v>
      </c>
      <c r="D42" s="27">
        <f>IF(A42&gt;=Simulateur!$B$5,"",(B42+$B$14)*(1+Simulateur!$B$10)-$B$12*C42*POWER(1+Simulateur!$B$10,0.5)-(1-C42)*B43)</f>
        <v>1.7462298274040222E-10</v>
      </c>
      <c r="E42" s="28">
        <f t="shared" si="0"/>
        <v>1.7462298274040222E-10</v>
      </c>
    </row>
    <row r="43" spans="1:6" x14ac:dyDescent="0.25">
      <c r="A43" s="15">
        <v>7</v>
      </c>
      <c r="B43" s="16">
        <f>IF(A43&gt;Simulateur!$B$5,"",IF(A43=Simulateur!$B$5,$B$12,$B$12*((VLOOKUP(Simulateur!$B$7+A43,Commutation!$A$4:$H$64,7,FALSE())-VLOOKUP(Simulateur!$B$7+Simulateur!$B$5,Commutation!$A$4:$H$64,7,FALSE())+VLOOKUP(Simulateur!$B$7+Simulateur!$B$5,Commutation!$A$4:$H$64,5,FALSE()))/VLOOKUP(Simulateur!$B$7+A43,Commutation!$A$4:$H$64,5,FALSE()))-$B$14*(VLOOKUP(Simulateur!$B$7+A43,Commutation!$A$4:$H$64,8,FALSE())-VLOOKUP(Simulateur!$B$7+Simulateur!$B$5,Commutation!$A$4:$H$64,8,FALSE()))/VLOOKUP(Simulateur!$B$7+A43,Commutation!$A$4:$H$64,5,FALSE())))</f>
        <v>367892.39179059397</v>
      </c>
      <c r="C43" s="23">
        <f>IF(A43&gt;=Simulateur!$B$5,"",VLOOKUP(Simulateur!$B$7+A43,Commutation!$A$4:$H$64,4,FALSE()))</f>
        <v>2.1072538160205301E-3</v>
      </c>
      <c r="D43" s="29">
        <f>IF(A43&gt;=Simulateur!$B$5,"",(B43+$B$14)*(1+Simulateur!$B$10)-$B$12*C43*POWER(1+Simulateur!$B$10,0.5)-(1-C43)*B44)</f>
        <v>-3.4924596548080444E-10</v>
      </c>
      <c r="E43" s="30">
        <f t="shared" si="0"/>
        <v>3.4924596548080444E-10</v>
      </c>
    </row>
    <row r="44" spans="1:6" x14ac:dyDescent="0.25">
      <c r="A44" s="13">
        <v>8</v>
      </c>
      <c r="B44" s="14">
        <f>IF(A44&gt;Simulateur!$B$5,"",IF(A44=Simulateur!$B$5,$B$12,$B$12*((VLOOKUP(Simulateur!$B$7+A44,Commutation!$A$4:$H$64,7,FALSE())-VLOOKUP(Simulateur!$B$7+Simulateur!$B$5,Commutation!$A$4:$H$64,7,FALSE())+VLOOKUP(Simulateur!$B$7+Simulateur!$B$5,Commutation!$A$4:$H$64,5,FALSE()))/VLOOKUP(Simulateur!$B$7+A44,Commutation!$A$4:$H$64,5,FALSE()))-$B$14*(VLOOKUP(Simulateur!$B$7+A44,Commutation!$A$4:$H$64,8,FALSE())-VLOOKUP(Simulateur!$B$7+Simulateur!$B$5,Commutation!$A$4:$H$64,8,FALSE()))/VLOOKUP(Simulateur!$B$7+A44,Commutation!$A$4:$H$64,5,FALSE())))</f>
        <v>428464.96723199508</v>
      </c>
      <c r="C44" s="21">
        <f>IF(A44&gt;=Simulateur!$B$5,"",VLOOKUP(Simulateur!$B$7+A44,Commutation!$A$4:$H$64,4,FALSE()))</f>
        <v>2.2054183734883299E-3</v>
      </c>
      <c r="D44" s="27">
        <f>IF(A44&gt;=Simulateur!$B$5,"",(B44+$B$14)*(1+Simulateur!$B$10)-$B$12*C44*POWER(1+Simulateur!$B$10,0.5)-(1-C44)*B45)</f>
        <v>-2.9103830456733704E-10</v>
      </c>
      <c r="E44" s="28">
        <f t="shared" si="0"/>
        <v>2.9103830456733704E-10</v>
      </c>
    </row>
    <row r="45" spans="1:6" x14ac:dyDescent="0.25">
      <c r="A45" s="15">
        <v>9</v>
      </c>
      <c r="B45" s="16">
        <f>IF(A45&gt;Simulateur!$B$5,"",IF(A45=Simulateur!$B$5,$B$12,$B$12*((VLOOKUP(Simulateur!$B$7+A45,Commutation!$A$4:$H$64,7,FALSE())-VLOOKUP(Simulateur!$B$7+Simulateur!$B$5,Commutation!$A$4:$H$64,7,FALSE())+VLOOKUP(Simulateur!$B$7+Simulateur!$B$5,Commutation!$A$4:$H$64,5,FALSE()))/VLOOKUP(Simulateur!$B$7+A45,Commutation!$A$4:$H$64,5,FALSE()))-$B$14*(VLOOKUP(Simulateur!$B$7+A45,Commutation!$A$4:$H$64,8,FALSE())-VLOOKUP(Simulateur!$B$7+Simulateur!$B$5,Commutation!$A$4:$H$64,8,FALSE()))/VLOOKUP(Simulateur!$B$7+A45,Commutation!$A$4:$H$64,5,FALSE())))</f>
        <v>491282.61158652266</v>
      </c>
      <c r="C45" s="23">
        <f>IF(A45&gt;=Simulateur!$B$5,"",VLOOKUP(Simulateur!$B$7+A45,Commutation!$A$4:$H$64,4,FALSE()))</f>
        <v>2.34178351234132E-3</v>
      </c>
      <c r="D45" s="29">
        <f>IF(A45&gt;=Simulateur!$B$5,"",(B45+$B$14)*(1+Simulateur!$B$10)-$B$12*C45*POWER(1+Simulateur!$B$10,0.5)-(1-C45)*B46)</f>
        <v>1.1641532182693481E-10</v>
      </c>
      <c r="E45" s="30">
        <f t="shared" si="0"/>
        <v>1.1641532182693481E-10</v>
      </c>
    </row>
    <row r="46" spans="1:6" x14ac:dyDescent="0.25">
      <c r="A46" s="13">
        <v>10</v>
      </c>
      <c r="B46" s="14">
        <f>IF(A46&gt;Simulateur!$B$5,"",IF(A46=Simulateur!$B$5,$B$12,$B$12*((VLOOKUP(Simulateur!$B$7+A46,Commutation!$A$4:$H$64,7,FALSE())-VLOOKUP(Simulateur!$B$7+Simulateur!$B$5,Commutation!$A$4:$H$64,7,FALSE())+VLOOKUP(Simulateur!$B$7+Simulateur!$B$5,Commutation!$A$4:$H$64,5,FALSE()))/VLOOKUP(Simulateur!$B$7+A46,Commutation!$A$4:$H$64,5,FALSE()))-$B$14*(VLOOKUP(Simulateur!$B$7+A46,Commutation!$A$4:$H$64,8,FALSE())-VLOOKUP(Simulateur!$B$7+Simulateur!$B$5,Commutation!$A$4:$H$64,8,FALSE()))/VLOOKUP(Simulateur!$B$7+A46,Commutation!$A$4:$H$64,5,FALSE())))</f>
        <v>556441.25910608226</v>
      </c>
      <c r="C46" s="21" t="str">
        <f>IF(A46&gt;=Simulateur!$B$5,"",VLOOKUP(Simulateur!$B$7+A46,Commutation!$A$4:$H$64,4,FALSE()))</f>
        <v/>
      </c>
      <c r="D46" s="27" t="str">
        <f>IF(A46&gt;=Simulateur!$B$5,"",(B46+$B$14)*(1+Simulateur!$B$10)-$B$12*C46*POWER(1+Simulateur!$B$10,0.5)-(1-C46)*B47)</f>
        <v/>
      </c>
      <c r="E46" s="28">
        <f t="shared" si="0"/>
        <v>0</v>
      </c>
    </row>
    <row r="50" spans="1:6" x14ac:dyDescent="0.25">
      <c r="A50" s="1" t="s">
        <v>62</v>
      </c>
      <c r="B50" s="1"/>
      <c r="C50" s="1"/>
      <c r="D50" s="1"/>
      <c r="E50" s="1"/>
      <c r="F50" s="1"/>
    </row>
    <row r="51" spans="1:6" x14ac:dyDescent="0.25">
      <c r="A51" s="3" t="s">
        <v>63</v>
      </c>
      <c r="B51" s="26">
        <f>F32</f>
        <v>0</v>
      </c>
    </row>
    <row r="52" spans="1:6" x14ac:dyDescent="0.25">
      <c r="A52" s="3" t="s">
        <v>64</v>
      </c>
      <c r="B52" s="26">
        <f>B17-Simulateur!$B$4</f>
        <v>0</v>
      </c>
    </row>
    <row r="53" spans="1:6" x14ac:dyDescent="0.25">
      <c r="A53" s="3" t="s">
        <v>65</v>
      </c>
      <c r="B53" s="26">
        <f>B36</f>
        <v>-5.8207660913467407E-11</v>
      </c>
    </row>
    <row r="54" spans="1:6" x14ac:dyDescent="0.25">
      <c r="A54" s="3" t="s">
        <v>66</v>
      </c>
      <c r="B54" s="26">
        <f>MAX(E36:E46)</f>
        <v>3.7834979593753815E-10</v>
      </c>
    </row>
  </sheetData>
  <mergeCells count="6">
    <mergeCell ref="A50:F50"/>
    <mergeCell ref="A1:F1"/>
    <mergeCell ref="A3:F3"/>
    <mergeCell ref="A11:F11"/>
    <mergeCell ref="A19:F19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showGridLines="0" zoomScaleNormal="100" workbookViewId="0">
      <pane ySplit="3" topLeftCell="A4" activePane="bottomLeft" state="frozen"/>
      <selection pane="bottomLeft" activeCell="C8" sqref="C8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4" width="11" customWidth="1"/>
    <col min="5" max="5" width="13" customWidth="1"/>
    <col min="6" max="6" width="12" customWidth="1"/>
    <col min="7" max="7" width="13" customWidth="1"/>
    <col min="8" max="8" width="15" customWidth="1"/>
  </cols>
  <sheetData>
    <row r="1" spans="1:8" ht="24" customHeight="1" x14ac:dyDescent="0.25">
      <c r="A1" s="2" t="s">
        <v>67</v>
      </c>
      <c r="B1" s="2"/>
      <c r="C1" s="2"/>
      <c r="D1" s="2"/>
      <c r="E1" s="2"/>
      <c r="F1" s="2"/>
      <c r="G1" s="2"/>
      <c r="H1" s="2"/>
    </row>
    <row r="3" spans="1:8" x14ac:dyDescent="0.25">
      <c r="A3" s="20" t="s">
        <v>68</v>
      </c>
      <c r="B3" s="20" t="s">
        <v>69</v>
      </c>
      <c r="C3" s="20" t="s">
        <v>70</v>
      </c>
      <c r="D3" s="20" t="s">
        <v>71</v>
      </c>
      <c r="E3" s="20" t="s">
        <v>72</v>
      </c>
      <c r="F3" s="20" t="s">
        <v>73</v>
      </c>
      <c r="G3" s="20" t="s">
        <v>74</v>
      </c>
      <c r="H3" s="20" t="s">
        <v>75</v>
      </c>
    </row>
    <row r="4" spans="1:8" x14ac:dyDescent="0.25">
      <c r="A4" s="13">
        <f>Tables_CIMA!A4</f>
        <v>20</v>
      </c>
      <c r="B4" s="14">
        <f>IF(Simulateur!$B$6="H",Tables_CIMA!B4,Tables_CIMA!F4)</f>
        <v>983382</v>
      </c>
      <c r="C4" s="14">
        <f>IF(Simulateur!$B$6="H",Tables_CIMA!C4,Tables_CIMA!G4)</f>
        <v>1549</v>
      </c>
      <c r="D4" s="21">
        <f>IF(Simulateur!$B$6="H",Tables_CIMA!D4,Tables_CIMA!H4)</f>
        <v>1.5751762794112599E-3</v>
      </c>
      <c r="E4" s="31">
        <f>B4*POWER(1/(1+Simulateur!$B$10),A4)</f>
        <v>494214.24456418498</v>
      </c>
      <c r="F4" s="31">
        <f>C4*POWER(1/(1+Simulateur!$B$10),A4+0.5)</f>
        <v>765.1987413583397</v>
      </c>
      <c r="G4" s="31">
        <f>SUM(F4:F$64)</f>
        <v>97421.33936133825</v>
      </c>
      <c r="H4" s="31">
        <f>SUM(E4:E$64)</f>
        <v>11782862.642341098</v>
      </c>
    </row>
    <row r="5" spans="1:8" x14ac:dyDescent="0.25">
      <c r="A5" s="15">
        <f>Tables_CIMA!A5</f>
        <v>21</v>
      </c>
      <c r="B5" s="16">
        <f>IF(Simulateur!$B$6="H",Tables_CIMA!B5,Tables_CIMA!F5)</f>
        <v>981833</v>
      </c>
      <c r="C5" s="16">
        <f>IF(Simulateur!$B$6="H",Tables_CIMA!C5,Tables_CIMA!G5)</f>
        <v>1612</v>
      </c>
      <c r="D5" s="23">
        <f>IF(Simulateur!$B$6="H",Tables_CIMA!D5,Tables_CIMA!H5)</f>
        <v>1.64182707242474E-3</v>
      </c>
      <c r="E5" s="32">
        <f>B5*POWER(1/(1+Simulateur!$B$10),A5)</f>
        <v>476749.53624077328</v>
      </c>
      <c r="F5" s="32">
        <f>C5*POWER(1/(1+Simulateur!$B$10),A5+0.5)</f>
        <v>769.39173540020749</v>
      </c>
      <c r="G5" s="32">
        <f>SUM(F5:F$64)</f>
        <v>96656.140619979909</v>
      </c>
      <c r="H5" s="32">
        <f>SUM(E5:E$64)</f>
        <v>11288648.397776913</v>
      </c>
    </row>
    <row r="6" spans="1:8" x14ac:dyDescent="0.25">
      <c r="A6" s="13">
        <f>Tables_CIMA!A6</f>
        <v>22</v>
      </c>
      <c r="B6" s="14">
        <f>IF(Simulateur!$B$6="H",Tables_CIMA!B6,Tables_CIMA!F6)</f>
        <v>980221</v>
      </c>
      <c r="C6" s="14">
        <f>IF(Simulateur!$B$6="H",Tables_CIMA!C6,Tables_CIMA!G6)</f>
        <v>1665</v>
      </c>
      <c r="D6" s="21">
        <f>IF(Simulateur!$B$6="H",Tables_CIMA!D6,Tables_CIMA!H6)</f>
        <v>1.69859654098413E-3</v>
      </c>
      <c r="E6" s="31">
        <f>B6*POWER(1/(1+Simulateur!$B$10),A6)</f>
        <v>459871.30043034523</v>
      </c>
      <c r="F6" s="31">
        <f>C6*POWER(1/(1+Simulateur!$B$10),A6+0.5)</f>
        <v>767.81460270276409</v>
      </c>
      <c r="G6" s="31">
        <f>SUM(F6:F$64)</f>
        <v>95886.748884579705</v>
      </c>
      <c r="H6" s="31">
        <f>SUM(E6:E$64)</f>
        <v>10811898.86153614</v>
      </c>
    </row>
    <row r="7" spans="1:8" x14ac:dyDescent="0.25">
      <c r="A7" s="15">
        <f>Tables_CIMA!A7</f>
        <v>23</v>
      </c>
      <c r="B7" s="16">
        <f>IF(Simulateur!$B$6="H",Tables_CIMA!B7,Tables_CIMA!F7)</f>
        <v>978556</v>
      </c>
      <c r="C7" s="16">
        <f>IF(Simulateur!$B$6="H",Tables_CIMA!C7,Tables_CIMA!G7)</f>
        <v>1720</v>
      </c>
      <c r="D7" s="23">
        <f>IF(Simulateur!$B$6="H",Tables_CIMA!D7,Tables_CIMA!H7)</f>
        <v>1.7576919460919999E-3</v>
      </c>
      <c r="E7" s="32">
        <f>B7*POWER(1/(1+Simulateur!$B$10),A7)</f>
        <v>443565.37645423814</v>
      </c>
      <c r="F7" s="32">
        <f>C7*POWER(1/(1+Simulateur!$B$10),A7+0.5)</f>
        <v>766.35540853825091</v>
      </c>
      <c r="G7" s="32">
        <f>SUM(F7:F$64)</f>
        <v>95118.934281876922</v>
      </c>
      <c r="H7" s="32">
        <f>SUM(E7:E$64)</f>
        <v>10352027.561105795</v>
      </c>
    </row>
    <row r="8" spans="1:8" x14ac:dyDescent="0.25">
      <c r="A8" s="13">
        <f>Tables_CIMA!A8</f>
        <v>24</v>
      </c>
      <c r="B8" s="14">
        <f>IF(Simulateur!$B$6="H",Tables_CIMA!B8,Tables_CIMA!F8)</f>
        <v>976836</v>
      </c>
      <c r="C8" s="14">
        <f>IF(Simulateur!$B$6="H",Tables_CIMA!C8,Tables_CIMA!G8)</f>
        <v>1574</v>
      </c>
      <c r="D8" s="21">
        <f>IF(Simulateur!$B$6="H",Tables_CIMA!D8,Tables_CIMA!H8)</f>
        <v>1.6113247259519499E-3</v>
      </c>
      <c r="E8" s="31">
        <f>B8*POWER(1/(1+Simulateur!$B$10),A8)</f>
        <v>427812.29484490742</v>
      </c>
      <c r="F8" s="31">
        <f>C8*POWER(1/(1+Simulateur!$B$10),A8+0.5)</f>
        <v>677.5887052236867</v>
      </c>
      <c r="G8" s="31">
        <f>SUM(F8:F$64)</f>
        <v>94352.578873338673</v>
      </c>
      <c r="H8" s="31">
        <f>SUM(E8:E$64)</f>
        <v>9908462.1846515555</v>
      </c>
    </row>
    <row r="9" spans="1:8" x14ac:dyDescent="0.25">
      <c r="A9" s="15">
        <f>Tables_CIMA!A9</f>
        <v>25</v>
      </c>
      <c r="B9" s="16">
        <f>IF(Simulateur!$B$6="H",Tables_CIMA!B9,Tables_CIMA!F9)</f>
        <v>975262</v>
      </c>
      <c r="C9" s="16">
        <f>IF(Simulateur!$B$6="H",Tables_CIMA!C9,Tables_CIMA!G9)</f>
        <v>1771</v>
      </c>
      <c r="D9" s="23">
        <f>IF(Simulateur!$B$6="H",Tables_CIMA!D9,Tables_CIMA!H9)</f>
        <v>1.81592228549867E-3</v>
      </c>
      <c r="E9" s="32">
        <f>B9*POWER(1/(1+Simulateur!$B$10),A9)</f>
        <v>412679.17904942768</v>
      </c>
      <c r="F9" s="32">
        <f>C9*POWER(1/(1+Simulateur!$B$10),A9+0.5)</f>
        <v>736.6134448993912</v>
      </c>
      <c r="G9" s="32">
        <f>SUM(F9:F$64)</f>
        <v>93674.990168114979</v>
      </c>
      <c r="H9" s="32">
        <f>SUM(E9:E$64)</f>
        <v>9480649.8898066506</v>
      </c>
    </row>
    <row r="10" spans="1:8" x14ac:dyDescent="0.25">
      <c r="A10" s="13">
        <f>Tables_CIMA!A10</f>
        <v>26</v>
      </c>
      <c r="B10" s="14">
        <f>IF(Simulateur!$B$6="H",Tables_CIMA!B10,Tables_CIMA!F10)</f>
        <v>973491</v>
      </c>
      <c r="C10" s="14">
        <f>IF(Simulateur!$B$6="H",Tables_CIMA!C10,Tables_CIMA!G10)</f>
        <v>1803</v>
      </c>
      <c r="D10" s="21">
        <f>IF(Simulateur!$B$6="H",Tables_CIMA!D10,Tables_CIMA!H10)</f>
        <v>1.8520972458913299E-3</v>
      </c>
      <c r="E10" s="31">
        <f>B10*POWER(1/(1+Simulateur!$B$10),A10)</f>
        <v>397999.7929772276</v>
      </c>
      <c r="F10" s="31">
        <f>C10*POWER(1/(1+Simulateur!$B$10),A10+0.5)</f>
        <v>724.56350769569974</v>
      </c>
      <c r="G10" s="31">
        <f>SUM(F10:F$64)</f>
        <v>92938.376723215595</v>
      </c>
      <c r="H10" s="31">
        <f>SUM(E10:E$64)</f>
        <v>9067970.7107572239</v>
      </c>
    </row>
    <row r="11" spans="1:8" x14ac:dyDescent="0.25">
      <c r="A11" s="15">
        <f>Tables_CIMA!A11</f>
        <v>27</v>
      </c>
      <c r="B11" s="16">
        <f>IF(Simulateur!$B$6="H",Tables_CIMA!B11,Tables_CIMA!F11)</f>
        <v>971688</v>
      </c>
      <c r="C11" s="16">
        <f>IF(Simulateur!$B$6="H",Tables_CIMA!C11,Tables_CIMA!G11)</f>
        <v>1841</v>
      </c>
      <c r="D11" s="23">
        <f>IF(Simulateur!$B$6="H",Tables_CIMA!D11,Tables_CIMA!H11)</f>
        <v>1.8946410782061699E-3</v>
      </c>
      <c r="E11" s="32">
        <f>B11*POWER(1/(1+Simulateur!$B$10),A11)</f>
        <v>383828.65570704266</v>
      </c>
      <c r="F11" s="32">
        <f>C11*POWER(1/(1+Simulateur!$B$10),A11+0.5)</f>
        <v>714.81584244604858</v>
      </c>
      <c r="G11" s="32">
        <f>SUM(F11:F$64)</f>
        <v>92213.813215519898</v>
      </c>
      <c r="H11" s="32">
        <f>SUM(E11:E$64)</f>
        <v>8669970.9177799933</v>
      </c>
    </row>
    <row r="12" spans="1:8" x14ac:dyDescent="0.25">
      <c r="A12" s="13">
        <f>Tables_CIMA!A12</f>
        <v>28</v>
      </c>
      <c r="B12" s="14">
        <f>IF(Simulateur!$B$6="H",Tables_CIMA!B12,Tables_CIMA!F12)</f>
        <v>969847</v>
      </c>
      <c r="C12" s="14">
        <f>IF(Simulateur!$B$6="H",Tables_CIMA!C12,Tables_CIMA!G12)</f>
        <v>1888</v>
      </c>
      <c r="D12" s="21">
        <f>IF(Simulateur!$B$6="H",Tables_CIMA!D12,Tables_CIMA!H12)</f>
        <v>1.9466988091936201E-3</v>
      </c>
      <c r="E12" s="31">
        <f>B12*POWER(1/(1+Simulateur!$B$10),A12)</f>
        <v>370146.31707144686</v>
      </c>
      <c r="F12" s="31">
        <f>C12*POWER(1/(1+Simulateur!$B$10),A12+0.5)</f>
        <v>708.27517629210126</v>
      </c>
      <c r="G12" s="31">
        <f>SUM(F12:F$64)</f>
        <v>91498.997373073842</v>
      </c>
      <c r="H12" s="31">
        <f>SUM(E12:E$64)</f>
        <v>8286142.2620729497</v>
      </c>
    </row>
    <row r="13" spans="1:8" x14ac:dyDescent="0.25">
      <c r="A13" s="15">
        <f>Tables_CIMA!A13</f>
        <v>29</v>
      </c>
      <c r="B13" s="16">
        <f>IF(Simulateur!$B$6="H",Tables_CIMA!B13,Tables_CIMA!F13)</f>
        <v>967959</v>
      </c>
      <c r="C13" s="16">
        <f>IF(Simulateur!$B$6="H",Tables_CIMA!C13,Tables_CIMA!G13)</f>
        <v>1678</v>
      </c>
      <c r="D13" s="23">
        <f>IF(Simulateur!$B$6="H",Tables_CIMA!D13,Tables_CIMA!H13)</f>
        <v>1.7335444993021401E-3</v>
      </c>
      <c r="E13" s="32">
        <f>B13*POWER(1/(1+Simulateur!$B$10),A13)</f>
        <v>356933.09533988062</v>
      </c>
      <c r="F13" s="32">
        <f>C13*POWER(1/(1+Simulateur!$B$10),A13+0.5)</f>
        <v>608.20731281121857</v>
      </c>
      <c r="G13" s="32">
        <f>SUM(F13:F$64)</f>
        <v>90790.722196781746</v>
      </c>
      <c r="H13" s="32">
        <f>SUM(E13:E$64)</f>
        <v>7915995.9450015025</v>
      </c>
    </row>
    <row r="14" spans="1:8" x14ac:dyDescent="0.25">
      <c r="A14" s="13">
        <f>Tables_CIMA!A14</f>
        <v>30</v>
      </c>
      <c r="B14" s="14">
        <f>IF(Simulateur!$B$6="H",Tables_CIMA!B14,Tables_CIMA!F14)</f>
        <v>966281</v>
      </c>
      <c r="C14" s="14">
        <f>IF(Simulateur!$B$6="H",Tables_CIMA!C14,Tables_CIMA!G14)</f>
        <v>1927</v>
      </c>
      <c r="D14" s="21">
        <f>IF(Simulateur!$B$6="H",Tables_CIMA!D14,Tables_CIMA!H14)</f>
        <v>1.9942439104152902E-3</v>
      </c>
      <c r="E14" s="31">
        <f>B14*POWER(1/(1+Simulateur!$B$10),A14)</f>
        <v>344265.05887520325</v>
      </c>
      <c r="F14" s="31">
        <f>C14*POWER(1/(1+Simulateur!$B$10),A14+0.5)</f>
        <v>674.84035617926691</v>
      </c>
      <c r="G14" s="31">
        <f>SUM(F14:F$64)</f>
        <v>90182.514883970522</v>
      </c>
      <c r="H14" s="31">
        <f>SUM(E14:E$64)</f>
        <v>7559062.8496616213</v>
      </c>
    </row>
    <row r="15" spans="1:8" x14ac:dyDescent="0.25">
      <c r="A15" s="15">
        <f>Tables_CIMA!A15</f>
        <v>31</v>
      </c>
      <c r="B15" s="16">
        <f>IF(Simulateur!$B$6="H",Tables_CIMA!B15,Tables_CIMA!F15)</f>
        <v>964354</v>
      </c>
      <c r="C15" s="16">
        <f>IF(Simulateur!$B$6="H",Tables_CIMA!C15,Tables_CIMA!G15)</f>
        <v>1964</v>
      </c>
      <c r="D15" s="23">
        <f>IF(Simulateur!$B$6="H",Tables_CIMA!D15,Tables_CIMA!H15)</f>
        <v>2.0365965195353599E-3</v>
      </c>
      <c r="E15" s="32">
        <f>B15*POWER(1/(1+Simulateur!$B$10),A15)</f>
        <v>331959.91340866918</v>
      </c>
      <c r="F15" s="32">
        <f>C15*POWER(1/(1+Simulateur!$B$10),A15+0.5)</f>
        <v>664.53898680388795</v>
      </c>
      <c r="G15" s="32">
        <f>SUM(F15:F$64)</f>
        <v>89507.674527791256</v>
      </c>
      <c r="H15" s="32">
        <f>SUM(E15:E$64)</f>
        <v>7214797.7907864181</v>
      </c>
    </row>
    <row r="16" spans="1:8" x14ac:dyDescent="0.25">
      <c r="A16" s="13">
        <f>Tables_CIMA!A16</f>
        <v>32</v>
      </c>
      <c r="B16" s="14">
        <f>IF(Simulateur!$B$6="H",Tables_CIMA!B16,Tables_CIMA!F16)</f>
        <v>962390</v>
      </c>
      <c r="C16" s="14">
        <f>IF(Simulateur!$B$6="H",Tables_CIMA!C16,Tables_CIMA!G16)</f>
        <v>2028</v>
      </c>
      <c r="D16" s="21">
        <f>IF(Simulateur!$B$6="H",Tables_CIMA!D16,Tables_CIMA!H16)</f>
        <v>2.1072538160205301E-3</v>
      </c>
      <c r="E16" s="31">
        <f>B16*POWER(1/(1+Simulateur!$B$10),A16)</f>
        <v>320081.00966608297</v>
      </c>
      <c r="F16" s="31">
        <f>C16*POWER(1/(1+Simulateur!$B$10),A16+0.5)</f>
        <v>662.9893962032944</v>
      </c>
      <c r="G16" s="31">
        <f>SUM(F16:F$64)</f>
        <v>88843.135540987365</v>
      </c>
      <c r="H16" s="31">
        <f>SUM(E16:E$64)</f>
        <v>6882837.8773777494</v>
      </c>
    </row>
    <row r="17" spans="1:8" x14ac:dyDescent="0.25">
      <c r="A17" s="15">
        <f>Tables_CIMA!A17</f>
        <v>33</v>
      </c>
      <c r="B17" s="16">
        <f>IF(Simulateur!$B$6="H",Tables_CIMA!B17,Tables_CIMA!F17)</f>
        <v>960362</v>
      </c>
      <c r="C17" s="16">
        <f>IF(Simulateur!$B$6="H",Tables_CIMA!C17,Tables_CIMA!G17)</f>
        <v>2118</v>
      </c>
      <c r="D17" s="23">
        <f>IF(Simulateur!$B$6="H",Tables_CIMA!D17,Tables_CIMA!H17)</f>
        <v>2.2054183734883299E-3</v>
      </c>
      <c r="E17" s="32">
        <f>B17*POWER(1/(1+Simulateur!$B$10),A17)</f>
        <v>308605.33114688739</v>
      </c>
      <c r="F17" s="32">
        <f>C17*POWER(1/(1+Simulateur!$B$10),A17+0.5)</f>
        <v>668.99710390693463</v>
      </c>
      <c r="G17" s="32">
        <f>SUM(F17:F$64)</f>
        <v>88180.14614478407</v>
      </c>
      <c r="H17" s="32">
        <f>SUM(E17:E$64)</f>
        <v>6562756.8677116651</v>
      </c>
    </row>
    <row r="18" spans="1:8" x14ac:dyDescent="0.25">
      <c r="A18" s="13">
        <f>Tables_CIMA!A18</f>
        <v>34</v>
      </c>
      <c r="B18" s="14">
        <f>IF(Simulateur!$B$6="H",Tables_CIMA!B18,Tables_CIMA!F18)</f>
        <v>958244</v>
      </c>
      <c r="C18" s="14">
        <f>IF(Simulateur!$B$6="H",Tables_CIMA!C18,Tables_CIMA!G18)</f>
        <v>2244</v>
      </c>
      <c r="D18" s="21">
        <f>IF(Simulateur!$B$6="H",Tables_CIMA!D18,Tables_CIMA!H18)</f>
        <v>2.34178351234132E-3</v>
      </c>
      <c r="E18" s="31">
        <f>B18*POWER(1/(1+Simulateur!$B$10),A18)</f>
        <v>297511.81379654066</v>
      </c>
      <c r="F18" s="31">
        <f>C18*POWER(1/(1+Simulateur!$B$10),A18+0.5)</f>
        <v>684.82685842863407</v>
      </c>
      <c r="G18" s="31">
        <f>SUM(F18:F$64)</f>
        <v>87511.149040877135</v>
      </c>
      <c r="H18" s="31">
        <f>SUM(E18:E$64)</f>
        <v>6254151.5365647767</v>
      </c>
    </row>
    <row r="19" spans="1:8" x14ac:dyDescent="0.25">
      <c r="A19" s="15">
        <f>Tables_CIMA!A19</f>
        <v>35</v>
      </c>
      <c r="B19" s="16">
        <f>IF(Simulateur!$B$6="H",Tables_CIMA!B19,Tables_CIMA!F19)</f>
        <v>956000</v>
      </c>
      <c r="C19" s="16">
        <f>IF(Simulateur!$B$6="H",Tables_CIMA!C19,Tables_CIMA!G19)</f>
        <v>2368</v>
      </c>
      <c r="D19" s="23">
        <f>IF(Simulateur!$B$6="H",Tables_CIMA!D19,Tables_CIMA!H19)</f>
        <v>2.47698744769875E-3</v>
      </c>
      <c r="E19" s="32">
        <f>B19*POWER(1/(1+Simulateur!$B$10),A19)</f>
        <v>286777.8797451838</v>
      </c>
      <c r="F19" s="32">
        <f>C19*POWER(1/(1+Simulateur!$B$10),A19+0.5)</f>
        <v>698.23124715139716</v>
      </c>
      <c r="G19" s="32">
        <f>SUM(F19:F$64)</f>
        <v>86826.322182448494</v>
      </c>
      <c r="H19" s="32">
        <f>SUM(E19:E$64)</f>
        <v>5956639.722768236</v>
      </c>
    </row>
    <row r="20" spans="1:8" x14ac:dyDescent="0.25">
      <c r="A20" s="13">
        <f>Tables_CIMA!A20</f>
        <v>36</v>
      </c>
      <c r="B20" s="14">
        <f>IF(Simulateur!$B$6="H",Tables_CIMA!B20,Tables_CIMA!F20)</f>
        <v>953632</v>
      </c>
      <c r="C20" s="14">
        <f>IF(Simulateur!$B$6="H",Tables_CIMA!C20,Tables_CIMA!G20)</f>
        <v>2516</v>
      </c>
      <c r="D20" s="21">
        <f>IF(Simulateur!$B$6="H",Tables_CIMA!D20,Tables_CIMA!H20)</f>
        <v>2.63833428408443E-3</v>
      </c>
      <c r="E20" s="31">
        <f>B20*POWER(1/(1+Simulateur!$B$10),A20)</f>
        <v>276393.75317563023</v>
      </c>
      <c r="F20" s="31">
        <f>C20*POWER(1/(1+Simulateur!$B$10),A20+0.5)</f>
        <v>716.78328511918778</v>
      </c>
      <c r="G20" s="31">
        <f>SUM(F20:F$64)</f>
        <v>86128.090935297107</v>
      </c>
      <c r="H20" s="31">
        <f>SUM(E20:E$64)</f>
        <v>5669861.8430230515</v>
      </c>
    </row>
    <row r="21" spans="1:8" x14ac:dyDescent="0.25">
      <c r="A21" s="15">
        <f>Tables_CIMA!A21</f>
        <v>37</v>
      </c>
      <c r="B21" s="16">
        <f>IF(Simulateur!$B$6="H",Tables_CIMA!B21,Tables_CIMA!F21)</f>
        <v>951116</v>
      </c>
      <c r="C21" s="16">
        <f>IF(Simulateur!$B$6="H",Tables_CIMA!C21,Tables_CIMA!G21)</f>
        <v>2671</v>
      </c>
      <c r="D21" s="23">
        <f>IF(Simulateur!$B$6="H",Tables_CIMA!D21,Tables_CIMA!H21)</f>
        <v>2.8082799574394701E-3</v>
      </c>
      <c r="E21" s="32">
        <f>B21*POWER(1/(1+Simulateur!$B$10),A21)</f>
        <v>266342.54498620308</v>
      </c>
      <c r="F21" s="32">
        <f>C21*POWER(1/(1+Simulateur!$B$10),A21+0.5)</f>
        <v>735.20892550607539</v>
      </c>
      <c r="G21" s="32">
        <f>SUM(F21:F$64)</f>
        <v>85411.307650177914</v>
      </c>
      <c r="H21" s="32">
        <f>SUM(E21:E$64)</f>
        <v>5393468.0898474213</v>
      </c>
    </row>
    <row r="22" spans="1:8" x14ac:dyDescent="0.25">
      <c r="A22" s="13">
        <f>Tables_CIMA!A22</f>
        <v>38</v>
      </c>
      <c r="B22" s="14">
        <f>IF(Simulateur!$B$6="H",Tables_CIMA!B22,Tables_CIMA!F22)</f>
        <v>948445</v>
      </c>
      <c r="C22" s="14">
        <f>IF(Simulateur!$B$6="H",Tables_CIMA!C22,Tables_CIMA!G22)</f>
        <v>2849</v>
      </c>
      <c r="D22" s="21">
        <f>IF(Simulateur!$B$6="H",Tables_CIMA!D22,Tables_CIMA!H22)</f>
        <v>3.0038642198546E-3</v>
      </c>
      <c r="E22" s="31">
        <f>B22*POWER(1/(1+Simulateur!$B$10),A22)</f>
        <v>256613.12130947338</v>
      </c>
      <c r="F22" s="31">
        <f>C22*POWER(1/(1+Simulateur!$B$10),A22+0.5)</f>
        <v>757.68551059846914</v>
      </c>
      <c r="G22" s="31">
        <f>SUM(F22:F$64)</f>
        <v>84676.098724671843</v>
      </c>
      <c r="H22" s="31">
        <f>SUM(E22:E$64)</f>
        <v>5127125.544861217</v>
      </c>
    </row>
    <row r="23" spans="1:8" x14ac:dyDescent="0.25">
      <c r="A23" s="15">
        <f>Tables_CIMA!A23</f>
        <v>39</v>
      </c>
      <c r="B23" s="16">
        <f>IF(Simulateur!$B$6="H",Tables_CIMA!B23,Tables_CIMA!F23)</f>
        <v>945596</v>
      </c>
      <c r="C23" s="16">
        <f>IF(Simulateur!$B$6="H",Tables_CIMA!C23,Tables_CIMA!G23)</f>
        <v>3057</v>
      </c>
      <c r="D23" s="23">
        <f>IF(Simulateur!$B$6="H",Tables_CIMA!D23,Tables_CIMA!H23)</f>
        <v>3.23288169577706E-3</v>
      </c>
      <c r="E23" s="32">
        <f>B23*POWER(1/(1+Simulateur!$B$10),A23)</f>
        <v>247190.6186821514</v>
      </c>
      <c r="F23" s="32">
        <f>C23*POWER(1/(1+Simulateur!$B$10),A23+0.5)</f>
        <v>785.50982577140212</v>
      </c>
      <c r="G23" s="32">
        <f>SUM(F23:F$64)</f>
        <v>83918.413214073371</v>
      </c>
      <c r="H23" s="32">
        <f>SUM(E23:E$64)</f>
        <v>4870512.4235517439</v>
      </c>
    </row>
    <row r="24" spans="1:8" x14ac:dyDescent="0.25">
      <c r="A24" s="13">
        <f>Tables_CIMA!A24</f>
        <v>40</v>
      </c>
      <c r="B24" s="14">
        <f>IF(Simulateur!$B$6="H",Tables_CIMA!B24,Tables_CIMA!F24)</f>
        <v>942539</v>
      </c>
      <c r="C24" s="14">
        <f>IF(Simulateur!$B$6="H",Tables_CIMA!C24,Tables_CIMA!G24)</f>
        <v>3296</v>
      </c>
      <c r="D24" s="21">
        <f>IF(Simulateur!$B$6="H",Tables_CIMA!D24,Tables_CIMA!H24)</f>
        <v>3.4969375272535098E-3</v>
      </c>
      <c r="E24" s="31">
        <f>B24*POWER(1/(1+Simulateur!$B$10),A24)</f>
        <v>238059.40159965801</v>
      </c>
      <c r="F24" s="31">
        <f>C24*POWER(1/(1+Simulateur!$B$10),A24+0.5)</f>
        <v>818.28207242506448</v>
      </c>
      <c r="G24" s="31">
        <f>SUM(F24:F$64)</f>
        <v>83132.903388301973</v>
      </c>
      <c r="H24" s="31">
        <f>SUM(E24:E$64)</f>
        <v>4623321.8048695931</v>
      </c>
    </row>
    <row r="25" spans="1:8" x14ac:dyDescent="0.25">
      <c r="A25" s="15">
        <f>Tables_CIMA!A25</f>
        <v>41</v>
      </c>
      <c r="B25" s="16">
        <f>IF(Simulateur!$B$6="H",Tables_CIMA!B25,Tables_CIMA!F25)</f>
        <v>939243</v>
      </c>
      <c r="C25" s="16">
        <f>IF(Simulateur!$B$6="H",Tables_CIMA!C25,Tables_CIMA!G25)</f>
        <v>3584</v>
      </c>
      <c r="D25" s="23">
        <f>IF(Simulateur!$B$6="H",Tables_CIMA!D25,Tables_CIMA!H25)</f>
        <v>3.8158389256028498E-3</v>
      </c>
      <c r="E25" s="32">
        <f>B25*POWER(1/(1+Simulateur!$B$10),A25)</f>
        <v>229204.75627486827</v>
      </c>
      <c r="F25" s="32">
        <f>C25*POWER(1/(1+Simulateur!$B$10),A25+0.5)</f>
        <v>859.69318616957207</v>
      </c>
      <c r="G25" s="32">
        <f>SUM(F25:F$64)</f>
        <v>82314.62131587691</v>
      </c>
      <c r="H25" s="32">
        <f>SUM(E25:E$64)</f>
        <v>4385262.4032699363</v>
      </c>
    </row>
    <row r="26" spans="1:8" x14ac:dyDescent="0.25">
      <c r="A26" s="13">
        <f>Tables_CIMA!A26</f>
        <v>42</v>
      </c>
      <c r="B26" s="14">
        <f>IF(Simulateur!$B$6="H",Tables_CIMA!B26,Tables_CIMA!F26)</f>
        <v>935659</v>
      </c>
      <c r="C26" s="14">
        <f>IF(Simulateur!$B$6="H",Tables_CIMA!C26,Tables_CIMA!G26)</f>
        <v>3877</v>
      </c>
      <c r="D26" s="21">
        <f>IF(Simulateur!$B$6="H",Tables_CIMA!D26,Tables_CIMA!H26)</f>
        <v>4.1436035991744896E-3</v>
      </c>
      <c r="E26" s="31">
        <f>B26*POWER(1/(1+Simulateur!$B$10),A26)</f>
        <v>220608.83849656169</v>
      </c>
      <c r="F26" s="31">
        <f>C26*POWER(1/(1+Simulateur!$B$10),A26+0.5)</f>
        <v>898.52659236419288</v>
      </c>
      <c r="G26" s="31">
        <f>SUM(F26:F$64)</f>
        <v>81454.928129707347</v>
      </c>
      <c r="H26" s="31">
        <f>SUM(E26:E$64)</f>
        <v>4156057.646995069</v>
      </c>
    </row>
    <row r="27" spans="1:8" x14ac:dyDescent="0.25">
      <c r="A27" s="15">
        <f>Tables_CIMA!A27</f>
        <v>43</v>
      </c>
      <c r="B27" s="16">
        <f>IF(Simulateur!$B$6="H",Tables_CIMA!B27,Tables_CIMA!F27)</f>
        <v>931782</v>
      </c>
      <c r="C27" s="16">
        <f>IF(Simulateur!$B$6="H",Tables_CIMA!C27,Tables_CIMA!G27)</f>
        <v>4194</v>
      </c>
      <c r="D27" s="23">
        <f>IF(Simulateur!$B$6="H",Tables_CIMA!D27,Tables_CIMA!H27)</f>
        <v>4.50105282136809E-3</v>
      </c>
      <c r="E27" s="32">
        <f>B27*POWER(1/(1+Simulateur!$B$10),A27)</f>
        <v>212265.43277232622</v>
      </c>
      <c r="F27" s="32">
        <f>C27*POWER(1/(1+Simulateur!$B$10),A27+0.5)</f>
        <v>939.12458544081323</v>
      </c>
      <c r="G27" s="32">
        <f>SUM(F27:F$64)</f>
        <v>80556.401537343147</v>
      </c>
      <c r="H27" s="32">
        <f>SUM(E27:E$64)</f>
        <v>3935448.8084985069</v>
      </c>
    </row>
    <row r="28" spans="1:8" x14ac:dyDescent="0.25">
      <c r="A28" s="13">
        <f>Tables_CIMA!A28</f>
        <v>44</v>
      </c>
      <c r="B28" s="14">
        <f>IF(Simulateur!$B$6="H",Tables_CIMA!B28,Tables_CIMA!F28)</f>
        <v>927588</v>
      </c>
      <c r="C28" s="14">
        <f>IF(Simulateur!$B$6="H",Tables_CIMA!C28,Tables_CIMA!G28)</f>
        <v>4523</v>
      </c>
      <c r="D28" s="21">
        <f>IF(Simulateur!$B$6="H",Tables_CIMA!D28,Tables_CIMA!H28)</f>
        <v>4.87608722838157E-3</v>
      </c>
      <c r="E28" s="31">
        <f>B28*POWER(1/(1+Simulateur!$B$10),A28)</f>
        <v>204164.2655529154</v>
      </c>
      <c r="F28" s="31">
        <f>C28*POWER(1/(1+Simulateur!$B$10),A28+0.5)</f>
        <v>978.5454951630461</v>
      </c>
      <c r="G28" s="31">
        <f>SUM(F28:F$64)</f>
        <v>79617.276951902328</v>
      </c>
      <c r="H28" s="31">
        <f>SUM(E28:E$64)</f>
        <v>3723183.3757261815</v>
      </c>
    </row>
    <row r="29" spans="1:8" x14ac:dyDescent="0.25">
      <c r="A29" s="15">
        <f>Tables_CIMA!A29</f>
        <v>45</v>
      </c>
      <c r="B29" s="16">
        <f>IF(Simulateur!$B$6="H",Tables_CIMA!B29,Tables_CIMA!F29)</f>
        <v>923065</v>
      </c>
      <c r="C29" s="16">
        <f>IF(Simulateur!$B$6="H",Tables_CIMA!C29,Tables_CIMA!G29)</f>
        <v>4866</v>
      </c>
      <c r="D29" s="23">
        <f>IF(Simulateur!$B$6="H",Tables_CIMA!D29,Tables_CIMA!H29)</f>
        <v>5.2715680910878403E-3</v>
      </c>
      <c r="E29" s="32">
        <f>B29*POWER(1/(1+Simulateur!$B$10),A29)</f>
        <v>196298.30220788496</v>
      </c>
      <c r="F29" s="32">
        <f>C29*POWER(1/(1+Simulateur!$B$10),A29+0.5)</f>
        <v>1017.1527767285796</v>
      </c>
      <c r="G29" s="32">
        <f>SUM(F29:F$64)</f>
        <v>78638.73145673929</v>
      </c>
      <c r="H29" s="32">
        <f>SUM(E29:E$64)</f>
        <v>3519019.1101732659</v>
      </c>
    </row>
    <row r="30" spans="1:8" x14ac:dyDescent="0.25">
      <c r="A30" s="13">
        <f>Tables_CIMA!A30</f>
        <v>46</v>
      </c>
      <c r="B30" s="14">
        <f>IF(Simulateur!$B$6="H",Tables_CIMA!B30,Tables_CIMA!F30)</f>
        <v>918199</v>
      </c>
      <c r="C30" s="14">
        <f>IF(Simulateur!$B$6="H",Tables_CIMA!C30,Tables_CIMA!G30)</f>
        <v>5200</v>
      </c>
      <c r="D30" s="21">
        <f>IF(Simulateur!$B$6="H",Tables_CIMA!D30,Tables_CIMA!H30)</f>
        <v>5.6632603607714698E-3</v>
      </c>
      <c r="E30" s="31">
        <f>B30*POWER(1/(1+Simulateur!$B$10),A30)</f>
        <v>188660.38873587552</v>
      </c>
      <c r="F30" s="31">
        <f>C30*POWER(1/(1+Simulateur!$B$10),A30+0.5)</f>
        <v>1050.2122464639019</v>
      </c>
      <c r="G30" s="31">
        <f>SUM(F30:F$64)</f>
        <v>77621.578680010702</v>
      </c>
      <c r="H30" s="31">
        <f>SUM(E30:E$64)</f>
        <v>3322720.8079653811</v>
      </c>
    </row>
    <row r="31" spans="1:8" x14ac:dyDescent="0.25">
      <c r="A31" s="15">
        <f>Tables_CIMA!A31</f>
        <v>47</v>
      </c>
      <c r="B31" s="16">
        <f>IF(Simulateur!$B$6="H",Tables_CIMA!B31,Tables_CIMA!F31)</f>
        <v>912999</v>
      </c>
      <c r="C31" s="16">
        <f>IF(Simulateur!$B$6="H",Tables_CIMA!C31,Tables_CIMA!G31)</f>
        <v>5515</v>
      </c>
      <c r="D31" s="23">
        <f>IF(Simulateur!$B$6="H",Tables_CIMA!D31,Tables_CIMA!H31)</f>
        <v>6.0405323554571302E-3</v>
      </c>
      <c r="E31" s="32">
        <f>B31*POWER(1/(1+Simulateur!$B$10),A31)</f>
        <v>181248.26650695642</v>
      </c>
      <c r="F31" s="32">
        <f>C31*POWER(1/(1+Simulateur!$B$10),A31+0.5)</f>
        <v>1076.1650946206651</v>
      </c>
      <c r="G31" s="32">
        <f>SUM(F31:F$64)</f>
        <v>76571.366433546806</v>
      </c>
      <c r="H31" s="32">
        <f>SUM(E31:E$64)</f>
        <v>3134060.419229506</v>
      </c>
    </row>
    <row r="32" spans="1:8" x14ac:dyDescent="0.25">
      <c r="A32" s="13">
        <f>Tables_CIMA!A32</f>
        <v>48</v>
      </c>
      <c r="B32" s="14">
        <f>IF(Simulateur!$B$6="H",Tables_CIMA!B32,Tables_CIMA!F32)</f>
        <v>907484</v>
      </c>
      <c r="C32" s="14">
        <f>IF(Simulateur!$B$6="H",Tables_CIMA!C32,Tables_CIMA!G32)</f>
        <v>5815</v>
      </c>
      <c r="D32" s="21">
        <f>IF(Simulateur!$B$6="H",Tables_CIMA!D32,Tables_CIMA!H32)</f>
        <v>6.4078264740755802E-3</v>
      </c>
      <c r="E32" s="31">
        <f>B32*POWER(1/(1+Simulateur!$B$10),A32)</f>
        <v>174061.28549637747</v>
      </c>
      <c r="F32" s="31">
        <f>C32*POWER(1/(1+Simulateur!$B$10),A32+0.5)</f>
        <v>1096.333674996022</v>
      </c>
      <c r="G32" s="31">
        <f>SUM(F32:F$64)</f>
        <v>75495.201338926141</v>
      </c>
      <c r="H32" s="31">
        <f>SUM(E32:E$64)</f>
        <v>2952812.1527225496</v>
      </c>
    </row>
    <row r="33" spans="1:8" x14ac:dyDescent="0.25">
      <c r="A33" s="15">
        <f>Tables_CIMA!A33</f>
        <v>49</v>
      </c>
      <c r="B33" s="16">
        <f>IF(Simulateur!$B$6="H",Tables_CIMA!B33,Tables_CIMA!F33)</f>
        <v>901669</v>
      </c>
      <c r="C33" s="16">
        <f>IF(Simulateur!$B$6="H",Tables_CIMA!C33,Tables_CIMA!G33)</f>
        <v>6108</v>
      </c>
      <c r="D33" s="23">
        <f>IF(Simulateur!$B$6="H",Tables_CIMA!D33,Tables_CIMA!H33)</f>
        <v>6.7741044662731004E-3</v>
      </c>
      <c r="E33" s="32">
        <f>B33*POWER(1/(1+Simulateur!$B$10),A33)</f>
        <v>167097.51785803109</v>
      </c>
      <c r="F33" s="32">
        <f>C33*POWER(1/(1+Simulateur!$B$10),A33+0.5)</f>
        <v>1112.6324285228861</v>
      </c>
      <c r="G33" s="32">
        <f>SUM(F33:F$64)</f>
        <v>74398.867663930127</v>
      </c>
      <c r="H33" s="32">
        <f>SUM(E33:E$64)</f>
        <v>2778750.8672261718</v>
      </c>
    </row>
    <row r="34" spans="1:8" x14ac:dyDescent="0.25">
      <c r="A34" s="13">
        <f>Tables_CIMA!A34</f>
        <v>50</v>
      </c>
      <c r="B34" s="14">
        <f>IF(Simulateur!$B$6="H",Tables_CIMA!B34,Tables_CIMA!F34)</f>
        <v>895561</v>
      </c>
      <c r="C34" s="14">
        <f>IF(Simulateur!$B$6="H",Tables_CIMA!C34,Tables_CIMA!G34)</f>
        <v>6395</v>
      </c>
      <c r="D34" s="21">
        <f>IF(Simulateur!$B$6="H",Tables_CIMA!D34,Tables_CIMA!H34)</f>
        <v>7.1407754468986503E-3</v>
      </c>
      <c r="E34" s="31">
        <f>B34*POWER(1/(1+Simulateur!$B$10),A34)</f>
        <v>160353.21914589938</v>
      </c>
      <c r="F34" s="31">
        <f>C34*POWER(1/(1+Simulateur!$B$10),A34+0.5)</f>
        <v>1125.519138660924</v>
      </c>
      <c r="G34" s="31">
        <f>SUM(F34:F$64)</f>
        <v>73286.235235407235</v>
      </c>
      <c r="H34" s="31">
        <f>SUM(E34:E$64)</f>
        <v>2611653.3493681406</v>
      </c>
    </row>
    <row r="35" spans="1:8" x14ac:dyDescent="0.25">
      <c r="A35" s="15">
        <f>Tables_CIMA!A35</f>
        <v>51</v>
      </c>
      <c r="B35" s="16">
        <f>IF(Simulateur!$B$6="H",Tables_CIMA!B35,Tables_CIMA!F35)</f>
        <v>889166</v>
      </c>
      <c r="C35" s="16">
        <f>IF(Simulateur!$B$6="H",Tables_CIMA!C35,Tables_CIMA!G35)</f>
        <v>6704</v>
      </c>
      <c r="D35" s="23">
        <f>IF(Simulateur!$B$6="H",Tables_CIMA!D35,Tables_CIMA!H35)</f>
        <v>7.5396495142639299E-3</v>
      </c>
      <c r="E35" s="32">
        <f>B35*POWER(1/(1+Simulateur!$B$10),A35)</f>
        <v>153824.32156115092</v>
      </c>
      <c r="F35" s="32">
        <f>C35*POWER(1/(1+Simulateur!$B$10),A35+0.5)</f>
        <v>1140.0029923109971</v>
      </c>
      <c r="G35" s="32">
        <f>SUM(F35:F$64)</f>
        <v>72160.716096746313</v>
      </c>
      <c r="H35" s="32">
        <f>SUM(E35:E$64)</f>
        <v>2451300.1302222414</v>
      </c>
    </row>
    <row r="36" spans="1:8" x14ac:dyDescent="0.25">
      <c r="A36" s="13">
        <f>Tables_CIMA!A36</f>
        <v>52</v>
      </c>
      <c r="B36" s="14">
        <f>IF(Simulateur!$B$6="H",Tables_CIMA!B36,Tables_CIMA!F36)</f>
        <v>882462</v>
      </c>
      <c r="C36" s="14">
        <f>IF(Simulateur!$B$6="H",Tables_CIMA!C36,Tables_CIMA!G36)</f>
        <v>7027</v>
      </c>
      <c r="D36" s="21">
        <f>IF(Simulateur!$B$6="H",Tables_CIMA!D36,Tables_CIMA!H36)</f>
        <v>7.9629491128229892E-3</v>
      </c>
      <c r="E36" s="31">
        <f>B36*POWER(1/(1+Simulateur!$B$10),A36)</f>
        <v>147501.97110126607</v>
      </c>
      <c r="F36" s="31">
        <f>C36*POWER(1/(1+Simulateur!$B$10),A36+0.5)</f>
        <v>1154.5203421663869</v>
      </c>
      <c r="G36" s="31">
        <f>SUM(F36:F$64)</f>
        <v>71020.713104435315</v>
      </c>
      <c r="H36" s="31">
        <f>SUM(E36:E$64)</f>
        <v>2297475.8086610907</v>
      </c>
    </row>
    <row r="37" spans="1:8" x14ac:dyDescent="0.25">
      <c r="A37" s="15">
        <f>Tables_CIMA!A37</f>
        <v>53</v>
      </c>
      <c r="B37" s="16">
        <f>IF(Simulateur!$B$6="H",Tables_CIMA!B37,Tables_CIMA!F37)</f>
        <v>875435</v>
      </c>
      <c r="C37" s="16">
        <f>IF(Simulateur!$B$6="H",Tables_CIMA!C37,Tables_CIMA!G37)</f>
        <v>7359</v>
      </c>
      <c r="D37" s="23">
        <f>IF(Simulateur!$B$6="H",Tables_CIMA!D37,Tables_CIMA!H37)</f>
        <v>8.4061066783941707E-3</v>
      </c>
      <c r="E37" s="32">
        <f>B37*POWER(1/(1+Simulateur!$B$10),A37)</f>
        <v>141379.15015588951</v>
      </c>
      <c r="F37" s="32">
        <f>C37*POWER(1/(1+Simulateur!$B$10),A37+0.5)</f>
        <v>1168.1808673106202</v>
      </c>
      <c r="G37" s="32">
        <f>SUM(F37:F$64)</f>
        <v>69866.192762268925</v>
      </c>
      <c r="H37" s="32">
        <f>SUM(E37:E$64)</f>
        <v>2149973.8375598248</v>
      </c>
    </row>
    <row r="38" spans="1:8" x14ac:dyDescent="0.25">
      <c r="A38" s="13">
        <f>Tables_CIMA!A38</f>
        <v>54</v>
      </c>
      <c r="B38" s="14">
        <f>IF(Simulateur!$B$6="H",Tables_CIMA!B38,Tables_CIMA!F38)</f>
        <v>868076</v>
      </c>
      <c r="C38" s="14">
        <f>IF(Simulateur!$B$6="H",Tables_CIMA!C38,Tables_CIMA!G38)</f>
        <v>7711</v>
      </c>
      <c r="D38" s="21">
        <f>IF(Simulateur!$B$6="H",Tables_CIMA!D38,Tables_CIMA!H38)</f>
        <v>8.8828627908155502E-3</v>
      </c>
      <c r="E38" s="31">
        <f>B38*POWER(1/(1+Simulateur!$B$10),A38)</f>
        <v>135449.95356287766</v>
      </c>
      <c r="F38" s="31">
        <f>C38*POWER(1/(1+Simulateur!$B$10),A38+0.5)</f>
        <v>1182.6647140583971</v>
      </c>
      <c r="G38" s="31">
        <f>SUM(F38:F$64)</f>
        <v>68698.011894958312</v>
      </c>
      <c r="H38" s="31">
        <f>SUM(E38:E$64)</f>
        <v>2008594.687403935</v>
      </c>
    </row>
    <row r="39" spans="1:8" x14ac:dyDescent="0.25">
      <c r="A39" s="15">
        <f>Tables_CIMA!A39</f>
        <v>55</v>
      </c>
      <c r="B39" s="16">
        <f>IF(Simulateur!$B$6="H",Tables_CIMA!B39,Tables_CIMA!F39)</f>
        <v>860365</v>
      </c>
      <c r="C39" s="16">
        <f>IF(Simulateur!$B$6="H",Tables_CIMA!C39,Tables_CIMA!G39)</f>
        <v>8066</v>
      </c>
      <c r="D39" s="23">
        <f>IF(Simulateur!$B$6="H",Tables_CIMA!D39,Tables_CIMA!H39)</f>
        <v>9.3750908044841399E-3</v>
      </c>
      <c r="E39" s="32">
        <f>B39*POWER(1/(1+Simulateur!$B$10),A39)</f>
        <v>129707.0243578322</v>
      </c>
      <c r="F39" s="32">
        <f>C39*POWER(1/(1+Simulateur!$B$10),A39+0.5)</f>
        <v>1195.277664519039</v>
      </c>
      <c r="G39" s="32">
        <f>SUM(F39:F$64)</f>
        <v>67515.347180899917</v>
      </c>
      <c r="H39" s="32">
        <f>SUM(E39:E$64)</f>
        <v>1873144.7338410574</v>
      </c>
    </row>
    <row r="40" spans="1:8" x14ac:dyDescent="0.25">
      <c r="A40" s="13">
        <f>Tables_CIMA!A40</f>
        <v>56</v>
      </c>
      <c r="B40" s="14">
        <f>IF(Simulateur!$B$6="H",Tables_CIMA!B40,Tables_CIMA!F40)</f>
        <v>852299</v>
      </c>
      <c r="C40" s="14">
        <f>IF(Simulateur!$B$6="H",Tables_CIMA!C40,Tables_CIMA!G40)</f>
        <v>8425</v>
      </c>
      <c r="D40" s="21">
        <f>IF(Simulateur!$B$6="H",Tables_CIMA!D40,Tables_CIMA!H40)</f>
        <v>9.8850286108513596E-3</v>
      </c>
      <c r="E40" s="31">
        <f>B40*POWER(1/(1+Simulateur!$B$10),A40)</f>
        <v>124145.90263429764</v>
      </c>
      <c r="F40" s="31">
        <f>C40*POWER(1/(1+Simulateur!$B$10),A40+0.5)</f>
        <v>1206.2578322526242</v>
      </c>
      <c r="G40" s="31">
        <f>SUM(F40:F$64)</f>
        <v>66320.06951638087</v>
      </c>
      <c r="H40" s="31">
        <f>SUM(E40:E$64)</f>
        <v>1743437.7094832249</v>
      </c>
    </row>
    <row r="41" spans="1:8" x14ac:dyDescent="0.25">
      <c r="A41" s="15">
        <f>Tables_CIMA!A41</f>
        <v>57</v>
      </c>
      <c r="B41" s="16">
        <f>IF(Simulateur!$B$6="H",Tables_CIMA!B41,Tables_CIMA!F41)</f>
        <v>843874</v>
      </c>
      <c r="C41" s="16">
        <f>IF(Simulateur!$B$6="H",Tables_CIMA!C41,Tables_CIMA!G41)</f>
        <v>8941</v>
      </c>
      <c r="D41" s="23">
        <f>IF(Simulateur!$B$6="H",Tables_CIMA!D41,Tables_CIMA!H41)</f>
        <v>1.0595183641159699E-2</v>
      </c>
      <c r="E41" s="32">
        <f>B41*POWER(1/(1+Simulateur!$B$10),A41)</f>
        <v>118762.04525105088</v>
      </c>
      <c r="F41" s="32">
        <f>C41*POWER(1/(1+Simulateur!$B$10),A41+0.5)</f>
        <v>1236.8470050511862</v>
      </c>
      <c r="G41" s="32">
        <f>SUM(F41:F$64)</f>
        <v>65113.811684128246</v>
      </c>
      <c r="H41" s="32">
        <f>SUM(E41:E$64)</f>
        <v>1619291.8068489274</v>
      </c>
    </row>
    <row r="42" spans="1:8" x14ac:dyDescent="0.25">
      <c r="A42" s="13">
        <f>Tables_CIMA!A42</f>
        <v>58</v>
      </c>
      <c r="B42" s="14">
        <f>IF(Simulateur!$B$6="H",Tables_CIMA!B42,Tables_CIMA!F42)</f>
        <v>834933</v>
      </c>
      <c r="C42" s="14">
        <f>IF(Simulateur!$B$6="H",Tables_CIMA!C42,Tables_CIMA!G42)</f>
        <v>9531</v>
      </c>
      <c r="D42" s="21">
        <f>IF(Simulateur!$B$6="H",Tables_CIMA!D42,Tables_CIMA!H42)</f>
        <v>1.14152872146627E-2</v>
      </c>
      <c r="E42" s="31">
        <f>B42*POWER(1/(1+Simulateur!$B$10),A42)</f>
        <v>113530.1831613684</v>
      </c>
      <c r="F42" s="31">
        <f>C42*POWER(1/(1+Simulateur!$B$10),A42+0.5)</f>
        <v>1273.8784965685254</v>
      </c>
      <c r="G42" s="31">
        <f>SUM(F42:F$64)</f>
        <v>63876.964679077064</v>
      </c>
      <c r="H42" s="31">
        <f>SUM(E42:E$64)</f>
        <v>1500529.7615978764</v>
      </c>
    </row>
    <row r="43" spans="1:8" x14ac:dyDescent="0.25">
      <c r="A43" s="15">
        <f>Tables_CIMA!A43</f>
        <v>59</v>
      </c>
      <c r="B43" s="16">
        <f>IF(Simulateur!$B$6="H",Tables_CIMA!B43,Tables_CIMA!F43)</f>
        <v>825402</v>
      </c>
      <c r="C43" s="16">
        <f>IF(Simulateur!$B$6="H",Tables_CIMA!C43,Tables_CIMA!G43)</f>
        <v>10282</v>
      </c>
      <c r="D43" s="23">
        <f>IF(Simulateur!$B$6="H",Tables_CIMA!D43,Tables_CIMA!H43)</f>
        <v>1.24569603659792E-2</v>
      </c>
      <c r="E43" s="32">
        <f>B43*POWER(1/(1+Simulateur!$B$10),A43)</f>
        <v>108438.84397395953</v>
      </c>
      <c r="F43" s="32">
        <f>C43*POWER(1/(1+Simulateur!$B$10),A43+0.5)</f>
        <v>1327.782030538292</v>
      </c>
      <c r="G43" s="32">
        <f>SUM(F43:F$64)</f>
        <v>62603.086182508545</v>
      </c>
      <c r="H43" s="32">
        <f>SUM(E43:E$64)</f>
        <v>1386999.5784365083</v>
      </c>
    </row>
    <row r="44" spans="1:8" x14ac:dyDescent="0.25">
      <c r="A44" s="13">
        <f>Tables_CIMA!A44</f>
        <v>60</v>
      </c>
      <c r="B44" s="14">
        <f>IF(Simulateur!$B$6="H",Tables_CIMA!B44,Tables_CIMA!F44)</f>
        <v>815120</v>
      </c>
      <c r="C44" s="14">
        <f>IF(Simulateur!$B$6="H",Tables_CIMA!C44,Tables_CIMA!G44)</f>
        <v>11005</v>
      </c>
      <c r="D44" s="21">
        <f>IF(Simulateur!$B$6="H",Tables_CIMA!D44,Tables_CIMA!H44)</f>
        <v>1.3501079595642399E-2</v>
      </c>
      <c r="E44" s="31">
        <f>B44*POWER(1/(1+Simulateur!$B$10),A44)</f>
        <v>103466.69139366505</v>
      </c>
      <c r="F44" s="31">
        <f>C44*POWER(1/(1+Simulateur!$B$10),A44+0.5)</f>
        <v>1373.0896210979752</v>
      </c>
      <c r="G44" s="31">
        <f>SUM(F44:F$64)</f>
        <v>61275.304151970253</v>
      </c>
      <c r="H44" s="31">
        <f>SUM(E44:E$64)</f>
        <v>1278560.734462549</v>
      </c>
    </row>
    <row r="45" spans="1:8" x14ac:dyDescent="0.25">
      <c r="A45" s="15">
        <f>Tables_CIMA!A45</f>
        <v>61</v>
      </c>
      <c r="B45" s="16">
        <f>IF(Simulateur!$B$6="H",Tables_CIMA!B45,Tables_CIMA!F45)</f>
        <v>804115</v>
      </c>
      <c r="C45" s="16">
        <f>IF(Simulateur!$B$6="H",Tables_CIMA!C45,Tables_CIMA!G45)</f>
        <v>11755</v>
      </c>
      <c r="D45" s="23">
        <f>IF(Simulateur!$B$6="H",Tables_CIMA!D45,Tables_CIMA!H45)</f>
        <v>1.4618555803585301E-2</v>
      </c>
      <c r="E45" s="32">
        <f>B45*POWER(1/(1+Simulateur!$B$10),A45)</f>
        <v>98618.144306919217</v>
      </c>
      <c r="F45" s="32">
        <f>C45*POWER(1/(1+Simulateur!$B$10),A45+0.5)</f>
        <v>1417.069403763041</v>
      </c>
      <c r="G45" s="32">
        <f>SUM(F45:F$64)</f>
        <v>59902.214530872268</v>
      </c>
      <c r="H45" s="32">
        <f>SUM(E45:E$64)</f>
        <v>1175094.0430688839</v>
      </c>
    </row>
    <row r="46" spans="1:8" x14ac:dyDescent="0.25">
      <c r="A46" s="13">
        <f>Tables_CIMA!A46</f>
        <v>62</v>
      </c>
      <c r="B46" s="14">
        <f>IF(Simulateur!$B$6="H",Tables_CIMA!B46,Tables_CIMA!F46)</f>
        <v>792360</v>
      </c>
      <c r="C46" s="14">
        <f>IF(Simulateur!$B$6="H",Tables_CIMA!C46,Tables_CIMA!G46)</f>
        <v>12639</v>
      </c>
      <c r="D46" s="21">
        <f>IF(Simulateur!$B$6="H",Tables_CIMA!D46,Tables_CIMA!H46)</f>
        <v>1.5951082841132801E-2</v>
      </c>
      <c r="E46" s="31">
        <f>B46*POWER(1/(1+Simulateur!$B$10),A46)</f>
        <v>93890.327981760885</v>
      </c>
      <c r="F46" s="31">
        <f>C46*POWER(1/(1+Simulateur!$B$10),A46+0.5)</f>
        <v>1472.1119962652197</v>
      </c>
      <c r="G46" s="31">
        <f>SUM(F46:F$64)</f>
        <v>58485.145127109237</v>
      </c>
      <c r="H46" s="31">
        <f>SUM(E46:E$64)</f>
        <v>1076475.8987619646</v>
      </c>
    </row>
    <row r="47" spans="1:8" x14ac:dyDescent="0.25">
      <c r="A47" s="15">
        <f>Tables_CIMA!A47</f>
        <v>63</v>
      </c>
      <c r="B47" s="16">
        <f>IF(Simulateur!$B$6="H",Tables_CIMA!B47,Tables_CIMA!F47)</f>
        <v>779721</v>
      </c>
      <c r="C47" s="16">
        <f>IF(Simulateur!$B$6="H",Tables_CIMA!C47,Tables_CIMA!G47)</f>
        <v>13672</v>
      </c>
      <c r="D47" s="23">
        <f>IF(Simulateur!$B$6="H",Tables_CIMA!D47,Tables_CIMA!H47)</f>
        <v>1.7534477075774501E-2</v>
      </c>
      <c r="E47" s="32">
        <f>B47*POWER(1/(1+Simulateur!$B$10),A47)</f>
        <v>89268.285586611295</v>
      </c>
      <c r="F47" s="32">
        <f>C47*POWER(1/(1+Simulateur!$B$10),A47+0.5)</f>
        <v>1538.5791324481879</v>
      </c>
      <c r="G47" s="32">
        <f>SUM(F47:F$64)</f>
        <v>57013.033130844022</v>
      </c>
      <c r="H47" s="32">
        <f>SUM(E47:E$64)</f>
        <v>982585.57078020368</v>
      </c>
    </row>
    <row r="48" spans="1:8" x14ac:dyDescent="0.25">
      <c r="A48" s="13">
        <f>Tables_CIMA!A48</f>
        <v>64</v>
      </c>
      <c r="B48" s="14">
        <f>IF(Simulateur!$B$6="H",Tables_CIMA!B48,Tables_CIMA!F48)</f>
        <v>766049</v>
      </c>
      <c r="C48" s="14">
        <f>IF(Simulateur!$B$6="H",Tables_CIMA!C48,Tables_CIMA!G48)</f>
        <v>14862</v>
      </c>
      <c r="D48" s="21">
        <f>IF(Simulateur!$B$6="H",Tables_CIMA!D48,Tables_CIMA!H48)</f>
        <v>1.9400847726450898E-2</v>
      </c>
      <c r="E48" s="31">
        <f>B48*POWER(1/(1+Simulateur!$B$10),A48)</f>
        <v>84737.210511496785</v>
      </c>
      <c r="F48" s="31">
        <f>C48*POWER(1/(1+Simulateur!$B$10),A48+0.5)</f>
        <v>1615.9380055605709</v>
      </c>
      <c r="G48" s="31">
        <f>SUM(F48:F$64)</f>
        <v>55474.453998395824</v>
      </c>
      <c r="H48" s="31">
        <f>SUM(E48:E$64)</f>
        <v>893317.28519359231</v>
      </c>
    </row>
    <row r="49" spans="1:8" x14ac:dyDescent="0.25">
      <c r="A49" s="15">
        <f>Tables_CIMA!A49</f>
        <v>65</v>
      </c>
      <c r="B49" s="16">
        <f>IF(Simulateur!$B$6="H",Tables_CIMA!B49,Tables_CIMA!F49)</f>
        <v>751187</v>
      </c>
      <c r="C49" s="16">
        <f>IF(Simulateur!$B$6="H",Tables_CIMA!C49,Tables_CIMA!G49)</f>
        <v>16159</v>
      </c>
      <c r="D49" s="23">
        <f>IF(Simulateur!$B$6="H",Tables_CIMA!D49,Tables_CIMA!H49)</f>
        <v>2.15112881346456E-2</v>
      </c>
      <c r="E49" s="32">
        <f>B49*POWER(1/(1+Simulateur!$B$10),A49)</f>
        <v>80283.32057352562</v>
      </c>
      <c r="F49" s="32">
        <f>C49*POWER(1/(1+Simulateur!$B$10),A49+0.5)</f>
        <v>1697.5460700182921</v>
      </c>
      <c r="G49" s="32">
        <f>SUM(F49:F$64)</f>
        <v>53858.515992835251</v>
      </c>
      <c r="H49" s="32">
        <f>SUM(E49:E$64)</f>
        <v>808580.07468209579</v>
      </c>
    </row>
    <row r="50" spans="1:8" x14ac:dyDescent="0.25">
      <c r="A50" s="13">
        <f>Tables_CIMA!A50</f>
        <v>66</v>
      </c>
      <c r="B50" s="14">
        <f>IF(Simulateur!$B$6="H",Tables_CIMA!B50,Tables_CIMA!F50)</f>
        <v>735028</v>
      </c>
      <c r="C50" s="14">
        <f>IF(Simulateur!$B$6="H",Tables_CIMA!C50,Tables_CIMA!G50)</f>
        <v>17501</v>
      </c>
      <c r="D50" s="21">
        <f>IF(Simulateur!$B$6="H",Tables_CIMA!D50,Tables_CIMA!H50)</f>
        <v>2.3809977306987001E-2</v>
      </c>
      <c r="E50" s="31">
        <f>B50*POWER(1/(1+Simulateur!$B$10),A50)</f>
        <v>75899.828920060289</v>
      </c>
      <c r="F50" s="31">
        <f>C50*POWER(1/(1+Simulateur!$B$10),A50+0.5)</f>
        <v>1776.3543489107267</v>
      </c>
      <c r="G50" s="31">
        <f>SUM(F50:F$64)</f>
        <v>52160.969922816963</v>
      </c>
      <c r="H50" s="31">
        <f>SUM(E50:E$64)</f>
        <v>728296.75410857005</v>
      </c>
    </row>
    <row r="51" spans="1:8" x14ac:dyDescent="0.25">
      <c r="A51" s="15">
        <f>Tables_CIMA!A51</f>
        <v>67</v>
      </c>
      <c r="B51" s="16">
        <f>IF(Simulateur!$B$6="H",Tables_CIMA!B51,Tables_CIMA!F51)</f>
        <v>717527</v>
      </c>
      <c r="C51" s="16">
        <f>IF(Simulateur!$B$6="H",Tables_CIMA!C51,Tables_CIMA!G51)</f>
        <v>18855</v>
      </c>
      <c r="D51" s="23">
        <f>IF(Simulateur!$B$6="H",Tables_CIMA!D51,Tables_CIMA!H51)</f>
        <v>2.6277756795214699E-2</v>
      </c>
      <c r="E51" s="32">
        <f>B51*POWER(1/(1+Simulateur!$B$10),A51)</f>
        <v>71587.106971854562</v>
      </c>
      <c r="F51" s="32">
        <f>C51*POWER(1/(1+Simulateur!$B$10),A51+0.5)</f>
        <v>1849.0681829202167</v>
      </c>
      <c r="G51" s="32">
        <f>SUM(F51:F$64)</f>
        <v>50384.615573906238</v>
      </c>
      <c r="H51" s="32">
        <f>SUM(E51:E$64)</f>
        <v>652396.92518850975</v>
      </c>
    </row>
    <row r="52" spans="1:8" x14ac:dyDescent="0.25">
      <c r="A52" s="13">
        <f>Tables_CIMA!A52</f>
        <v>68</v>
      </c>
      <c r="B52" s="14">
        <f>IF(Simulateur!$B$6="H",Tables_CIMA!B52,Tables_CIMA!F52)</f>
        <v>698672</v>
      </c>
      <c r="C52" s="14">
        <f>IF(Simulateur!$B$6="H",Tables_CIMA!C52,Tables_CIMA!G52)</f>
        <v>20142</v>
      </c>
      <c r="D52" s="21">
        <f>IF(Simulateur!$B$6="H",Tables_CIMA!D52,Tables_CIMA!H52)</f>
        <v>2.8828978404745E-2</v>
      </c>
      <c r="E52" s="31">
        <f>B52*POWER(1/(1+Simulateur!$B$10),A52)</f>
        <v>67348.752062971165</v>
      </c>
      <c r="F52" s="31">
        <f>C52*POWER(1/(1+Simulateur!$B$10),A52+0.5)</f>
        <v>1908.4844722887237</v>
      </c>
      <c r="G52" s="31">
        <f>SUM(F52:F$64)</f>
        <v>48535.547390986023</v>
      </c>
      <c r="H52" s="31">
        <f>SUM(E52:E$64)</f>
        <v>580809.81821665517</v>
      </c>
    </row>
    <row r="53" spans="1:8" x14ac:dyDescent="0.25">
      <c r="A53" s="15">
        <f>Tables_CIMA!A53</f>
        <v>69</v>
      </c>
      <c r="B53" s="16">
        <f>IF(Simulateur!$B$6="H",Tables_CIMA!B53,Tables_CIMA!F53)</f>
        <v>678530</v>
      </c>
      <c r="C53" s="16">
        <f>IF(Simulateur!$B$6="H",Tables_CIMA!C53,Tables_CIMA!G53)</f>
        <v>21389</v>
      </c>
      <c r="D53" s="23">
        <f>IF(Simulateur!$B$6="H",Tables_CIMA!D53,Tables_CIMA!H53)</f>
        <v>3.1522556113952202E-2</v>
      </c>
      <c r="E53" s="32">
        <f>B53*POWER(1/(1+Simulateur!$B$10),A53)</f>
        <v>63195.320139286225</v>
      </c>
      <c r="F53" s="32">
        <f>C53*POWER(1/(1+Simulateur!$B$10),A53+0.5)</f>
        <v>1958.1058723538004</v>
      </c>
      <c r="G53" s="32">
        <f>SUM(F53:F$64)</f>
        <v>46627.062918697295</v>
      </c>
      <c r="H53" s="32">
        <f>SUM(E53:E$64)</f>
        <v>513461.06615368411</v>
      </c>
    </row>
    <row r="54" spans="1:8" x14ac:dyDescent="0.25">
      <c r="A54" s="13">
        <f>Tables_CIMA!A54</f>
        <v>70</v>
      </c>
      <c r="B54" s="14">
        <f>IF(Simulateur!$B$6="H",Tables_CIMA!B54,Tables_CIMA!F54)</f>
        <v>657141</v>
      </c>
      <c r="C54" s="14">
        <f>IF(Simulateur!$B$6="H",Tables_CIMA!C54,Tables_CIMA!G54)</f>
        <v>22569</v>
      </c>
      <c r="D54" s="21">
        <f>IF(Simulateur!$B$6="H",Tables_CIMA!D54,Tables_CIMA!H54)</f>
        <v>3.4344227494555998E-2</v>
      </c>
      <c r="E54" s="31">
        <f>B54*POWER(1/(1+Simulateur!$B$10),A54)</f>
        <v>59133.56725995789</v>
      </c>
      <c r="F54" s="31">
        <f>C54*POWER(1/(1+Simulateur!$B$10),A54+0.5)</f>
        <v>1996.2625347469866</v>
      </c>
      <c r="G54" s="31">
        <f>SUM(F54:F$64)</f>
        <v>44668.957046343494</v>
      </c>
      <c r="H54" s="31">
        <f>SUM(E54:E$64)</f>
        <v>450265.74601439782</v>
      </c>
    </row>
    <row r="55" spans="1:8" x14ac:dyDescent="0.25">
      <c r="A55" s="15">
        <f>Tables_CIMA!A55</f>
        <v>71</v>
      </c>
      <c r="B55" s="16">
        <f>IF(Simulateur!$B$6="H",Tables_CIMA!B55,Tables_CIMA!F55)</f>
        <v>634572</v>
      </c>
      <c r="C55" s="16">
        <f>IF(Simulateur!$B$6="H",Tables_CIMA!C55,Tables_CIMA!G55)</f>
        <v>23740</v>
      </c>
      <c r="D55" s="23">
        <f>IF(Simulateur!$B$6="H",Tables_CIMA!D55,Tables_CIMA!H55)</f>
        <v>3.74110424033837E-2</v>
      </c>
      <c r="E55" s="32">
        <f>B55*POWER(1/(1+Simulateur!$B$10),A55)</f>
        <v>55171.662389775141</v>
      </c>
      <c r="F55" s="32">
        <f>C55*POWER(1/(1+Simulateur!$B$10),A55+0.5)</f>
        <v>2028.8302164245849</v>
      </c>
      <c r="G55" s="32">
        <f>SUM(F55:F$64)</f>
        <v>42672.694511596506</v>
      </c>
      <c r="H55" s="32">
        <f>SUM(E55:E$64)</f>
        <v>391132.17875443993</v>
      </c>
    </row>
    <row r="56" spans="1:8" x14ac:dyDescent="0.25">
      <c r="A56" s="13">
        <f>Tables_CIMA!A56</f>
        <v>72</v>
      </c>
      <c r="B56" s="14">
        <f>IF(Simulateur!$B$6="H",Tables_CIMA!B56,Tables_CIMA!F56)</f>
        <v>610832</v>
      </c>
      <c r="C56" s="14">
        <f>IF(Simulateur!$B$6="H",Tables_CIMA!C56,Tables_CIMA!G56)</f>
        <v>24959</v>
      </c>
      <c r="D56" s="21">
        <f>IF(Simulateur!$B$6="H",Tables_CIMA!D56,Tables_CIMA!H56)</f>
        <v>4.0860662178798801E-2</v>
      </c>
      <c r="E56" s="31">
        <f>B56*POWER(1/(1+Simulateur!$B$10),A56)</f>
        <v>51311.722694344047</v>
      </c>
      <c r="F56" s="31">
        <f>C56*POWER(1/(1+Simulateur!$B$10),A56+0.5)</f>
        <v>2060.8758072248561</v>
      </c>
      <c r="G56" s="31">
        <f>SUM(F56:F$64)</f>
        <v>40643.864295171923</v>
      </c>
      <c r="H56" s="31">
        <f>SUM(E56:E$64)</f>
        <v>335960.51636466483</v>
      </c>
    </row>
    <row r="57" spans="1:8" x14ac:dyDescent="0.25">
      <c r="A57" s="15">
        <f>Tables_CIMA!A57</f>
        <v>73</v>
      </c>
      <c r="B57" s="16">
        <f>IF(Simulateur!$B$6="H",Tables_CIMA!B57,Tables_CIMA!F57)</f>
        <v>585873</v>
      </c>
      <c r="C57" s="16">
        <f>IF(Simulateur!$B$6="H",Tables_CIMA!C57,Tables_CIMA!G57)</f>
        <v>26175</v>
      </c>
      <c r="D57" s="23">
        <f>IF(Simulateur!$B$6="H",Tables_CIMA!D57,Tables_CIMA!H57)</f>
        <v>4.4676918035137299E-2</v>
      </c>
      <c r="E57" s="32">
        <f>B57*POWER(1/(1+Simulateur!$B$10),A57)</f>
        <v>47550.813263302669</v>
      </c>
      <c r="F57" s="32">
        <f>C57*POWER(1/(1+Simulateur!$B$10),A57+0.5)</f>
        <v>2088.1946587228404</v>
      </c>
      <c r="G57" s="32">
        <f>SUM(F57:F$64)</f>
        <v>38582.98848794707</v>
      </c>
      <c r="H57" s="32">
        <f>SUM(E57:E$64)</f>
        <v>284648.79367032071</v>
      </c>
    </row>
    <row r="58" spans="1:8" x14ac:dyDescent="0.25">
      <c r="A58" s="13">
        <f>Tables_CIMA!A58</f>
        <v>74</v>
      </c>
      <c r="B58" s="14">
        <f>IF(Simulateur!$B$6="H",Tables_CIMA!B58,Tables_CIMA!F58)</f>
        <v>559698</v>
      </c>
      <c r="C58" s="14">
        <f>IF(Simulateur!$B$6="H",Tables_CIMA!C58,Tables_CIMA!G58)</f>
        <v>27342</v>
      </c>
      <c r="D58" s="21">
        <f>IF(Simulateur!$B$6="H",Tables_CIMA!D58,Tables_CIMA!H58)</f>
        <v>4.8851344832391799E-2</v>
      </c>
      <c r="E58" s="31">
        <f>B58*POWER(1/(1+Simulateur!$B$10),A58)</f>
        <v>43890.231378390316</v>
      </c>
      <c r="F58" s="31">
        <f>C58*POWER(1/(1+Simulateur!$B$10),A58+0.5)</f>
        <v>2107.5322032141498</v>
      </c>
      <c r="G58" s="31">
        <f>SUM(F58:F$64)</f>
        <v>36494.793829224232</v>
      </c>
      <c r="H58" s="31">
        <f>SUM(E58:E$64)</f>
        <v>237097.98040701804</v>
      </c>
    </row>
    <row r="59" spans="1:8" x14ac:dyDescent="0.25">
      <c r="A59" s="15">
        <f>Tables_CIMA!A59</f>
        <v>75</v>
      </c>
      <c r="B59" s="16">
        <f>IF(Simulateur!$B$6="H",Tables_CIMA!B59,Tables_CIMA!F59)</f>
        <v>532356</v>
      </c>
      <c r="C59" s="16">
        <f>IF(Simulateur!$B$6="H",Tables_CIMA!C59,Tables_CIMA!G59)</f>
        <v>28334</v>
      </c>
      <c r="D59" s="23">
        <f>IF(Simulateur!$B$6="H",Tables_CIMA!D59,Tables_CIMA!H59)</f>
        <v>5.3223782581580802E-2</v>
      </c>
      <c r="E59" s="32">
        <f>B59*POWER(1/(1+Simulateur!$B$10),A59)</f>
        <v>40334.429517440687</v>
      </c>
      <c r="F59" s="32">
        <f>C59*POWER(1/(1+Simulateur!$B$10),A59+0.5)</f>
        <v>2110.1410208876755</v>
      </c>
      <c r="G59" s="32">
        <f>SUM(F59:F$64)</f>
        <v>34387.261626010077</v>
      </c>
      <c r="H59" s="32">
        <f>SUM(E59:E$64)</f>
        <v>193207.7490286277</v>
      </c>
    </row>
    <row r="60" spans="1:8" x14ac:dyDescent="0.25">
      <c r="A60" s="13">
        <f>Tables_CIMA!A60</f>
        <v>76</v>
      </c>
      <c r="B60" s="14">
        <f>IF(Simulateur!$B$6="H",Tables_CIMA!B60,Tables_CIMA!F60)</f>
        <v>504022</v>
      </c>
      <c r="C60" s="14">
        <f>IF(Simulateur!$B$6="H",Tables_CIMA!C60,Tables_CIMA!G60)</f>
        <v>29111</v>
      </c>
      <c r="D60" s="21">
        <f>IF(Simulateur!$B$6="H",Tables_CIMA!D60,Tables_CIMA!H60)</f>
        <v>5.77573994785942E-2</v>
      </c>
      <c r="E60" s="31">
        <f>B60*POWER(1/(1+Simulateur!$B$10),A60)</f>
        <v>36896.3078359926</v>
      </c>
      <c r="F60" s="31">
        <f>C60*POWER(1/(1+Simulateur!$B$10),A60+0.5)</f>
        <v>2094.6929214303609</v>
      </c>
      <c r="G60" s="31">
        <f>SUM(F60:F$64)</f>
        <v>32277.120605122404</v>
      </c>
      <c r="H60" s="31">
        <f>SUM(E60:E$64)</f>
        <v>152873.31951118703</v>
      </c>
    </row>
    <row r="61" spans="1:8" x14ac:dyDescent="0.25">
      <c r="A61" s="15">
        <f>Tables_CIMA!A61</f>
        <v>77</v>
      </c>
      <c r="B61" s="16">
        <f>IF(Simulateur!$B$6="H",Tables_CIMA!B61,Tables_CIMA!F61)</f>
        <v>474911</v>
      </c>
      <c r="C61" s="16">
        <f>IF(Simulateur!$B$6="H",Tables_CIMA!C61,Tables_CIMA!G61)</f>
        <v>29698</v>
      </c>
      <c r="D61" s="23">
        <f>IF(Simulateur!$B$6="H",Tables_CIMA!D61,Tables_CIMA!H61)</f>
        <v>6.2533822126672203E-2</v>
      </c>
      <c r="E61" s="32">
        <f>B61*POWER(1/(1+Simulateur!$B$10),A61)</f>
        <v>33589.635792293702</v>
      </c>
      <c r="F61" s="32">
        <f>C61*POWER(1/(1+Simulateur!$B$10),A61+0.5)</f>
        <v>2064.6673686487311</v>
      </c>
      <c r="G61" s="32">
        <f>SUM(F61:F$64)</f>
        <v>30182.427683692044</v>
      </c>
      <c r="H61" s="32">
        <f>SUM(E61:E$64)</f>
        <v>115977.01167519444</v>
      </c>
    </row>
    <row r="62" spans="1:8" x14ac:dyDescent="0.25">
      <c r="A62" s="13">
        <f>Tables_CIMA!A62</f>
        <v>78</v>
      </c>
      <c r="B62" s="14">
        <f>IF(Simulateur!$B$6="H",Tables_CIMA!B62,Tables_CIMA!F62)</f>
        <v>445213</v>
      </c>
      <c r="C62" s="14">
        <f>IF(Simulateur!$B$6="H",Tables_CIMA!C62,Tables_CIMA!G62)</f>
        <v>30082</v>
      </c>
      <c r="D62" s="21">
        <f>IF(Simulateur!$B$6="H",Tables_CIMA!D62,Tables_CIMA!H62)</f>
        <v>6.7567658626320401E-2</v>
      </c>
      <c r="E62" s="31">
        <f>B62*POWER(1/(1+Simulateur!$B$10),A62)</f>
        <v>30424.297084404556</v>
      </c>
      <c r="F62" s="31">
        <f>C62*POWER(1/(1+Simulateur!$B$10),A62+0.5)</f>
        <v>2020.64140637949</v>
      </c>
      <c r="G62" s="31">
        <f>SUM(F62:F$64)</f>
        <v>28117.760315043313</v>
      </c>
      <c r="H62" s="31">
        <f>SUM(E62:E$64)</f>
        <v>82387.375882900742</v>
      </c>
    </row>
    <row r="63" spans="1:8" x14ac:dyDescent="0.25">
      <c r="A63" s="15">
        <f>Tables_CIMA!A63</f>
        <v>79</v>
      </c>
      <c r="B63" s="16">
        <f>IF(Simulateur!$B$6="H",Tables_CIMA!B63,Tables_CIMA!F63)</f>
        <v>415131</v>
      </c>
      <c r="C63" s="16">
        <f>IF(Simulateur!$B$6="H",Tables_CIMA!C63,Tables_CIMA!G63)</f>
        <v>30232</v>
      </c>
      <c r="D63" s="23">
        <f>IF(Simulateur!$B$6="H",Tables_CIMA!D63,Tables_CIMA!H63)</f>
        <v>7.2825204573977897E-2</v>
      </c>
      <c r="E63" s="32">
        <f>B63*POWER(1/(1+Simulateur!$B$10),A63)</f>
        <v>27409.273975903146</v>
      </c>
      <c r="F63" s="32">
        <f>C63*POWER(1/(1+Simulateur!$B$10),A63+0.5)</f>
        <v>1962.0454814060497</v>
      </c>
      <c r="G63" s="32">
        <f>SUM(F63:F$64)</f>
        <v>26097.118908663822</v>
      </c>
      <c r="H63" s="32">
        <f>SUM(E63:E$64)</f>
        <v>51963.078798496179</v>
      </c>
    </row>
    <row r="64" spans="1:8" x14ac:dyDescent="0.25">
      <c r="A64" s="13">
        <f>Tables_CIMA!A64</f>
        <v>80</v>
      </c>
      <c r="B64" s="14">
        <f>IF(Simulateur!$B$6="H",Tables_CIMA!B64,Tables_CIMA!F64)</f>
        <v>384899</v>
      </c>
      <c r="C64" s="14">
        <f>IF(Simulateur!$B$6="H",Tables_CIMA!C64,Tables_CIMA!G64)</f>
        <v>384899</v>
      </c>
      <c r="D64" s="21">
        <f>IF(Simulateur!$B$6="H",Tables_CIMA!D64,Tables_CIMA!H64)</f>
        <v>1</v>
      </c>
      <c r="E64" s="31">
        <f>B64*POWER(1/(1+Simulateur!$B$10),A64)</f>
        <v>24553.804822593036</v>
      </c>
      <c r="F64" s="31">
        <f>C64*POWER(1/(1+Simulateur!$B$10),A64+0.5)</f>
        <v>24135.073427257772</v>
      </c>
      <c r="G64" s="31">
        <f>SUM(F64:F$64)</f>
        <v>24135.073427257772</v>
      </c>
      <c r="H64" s="31">
        <f>SUM(E64:E$64)</f>
        <v>24553.804822593036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showGridLines="0" tabSelected="1" zoomScaleNormal="100" workbookViewId="0">
      <pane ySplit="3" topLeftCell="A4" activePane="bottomLeft" state="frozen"/>
      <selection pane="bottomLeft" activeCell="F18" sqref="F18"/>
    </sheetView>
  </sheetViews>
  <sheetFormatPr baseColWidth="10" defaultColWidth="8.7109375" defaultRowHeight="15" x14ac:dyDescent="0.25"/>
  <cols>
    <col min="1" max="8" width="12" customWidth="1"/>
  </cols>
  <sheetData>
    <row r="1" spans="1:8" ht="24" customHeight="1" x14ac:dyDescent="0.25">
      <c r="A1" s="2" t="s">
        <v>76</v>
      </c>
      <c r="B1" s="2"/>
      <c r="C1" s="2"/>
      <c r="D1" s="2"/>
      <c r="E1" s="2"/>
      <c r="F1" s="2"/>
      <c r="G1" s="2"/>
      <c r="H1" s="2"/>
    </row>
    <row r="3" spans="1:8" x14ac:dyDescent="0.25">
      <c r="A3" s="20" t="s">
        <v>68</v>
      </c>
      <c r="B3" s="20" t="s">
        <v>77</v>
      </c>
      <c r="C3" s="20" t="s">
        <v>78</v>
      </c>
      <c r="D3" s="20" t="s">
        <v>79</v>
      </c>
      <c r="E3" s="20" t="s">
        <v>68</v>
      </c>
      <c r="F3" s="20" t="s">
        <v>80</v>
      </c>
      <c r="G3" s="20" t="s">
        <v>81</v>
      </c>
      <c r="H3" s="20" t="s">
        <v>82</v>
      </c>
    </row>
    <row r="4" spans="1:8" x14ac:dyDescent="0.25">
      <c r="A4" s="13">
        <v>20</v>
      </c>
      <c r="B4" s="14">
        <v>983382</v>
      </c>
      <c r="C4" s="14">
        <v>1549</v>
      </c>
      <c r="D4" s="21">
        <v>1.5751762794112599E-3</v>
      </c>
      <c r="E4" s="13">
        <v>20</v>
      </c>
      <c r="F4" s="14">
        <v>991158</v>
      </c>
      <c r="G4" s="14">
        <v>829</v>
      </c>
      <c r="H4" s="21">
        <v>8.3639540819929802E-4</v>
      </c>
    </row>
    <row r="5" spans="1:8" x14ac:dyDescent="0.25">
      <c r="A5" s="15">
        <v>21</v>
      </c>
      <c r="B5" s="16">
        <v>981833</v>
      </c>
      <c r="C5" s="16">
        <v>1612</v>
      </c>
      <c r="D5" s="23">
        <v>1.64182707242474E-3</v>
      </c>
      <c r="E5" s="15">
        <v>21</v>
      </c>
      <c r="F5" s="16">
        <v>990329</v>
      </c>
      <c r="G5" s="16">
        <v>857</v>
      </c>
      <c r="H5" s="23">
        <v>8.6536898343883702E-4</v>
      </c>
    </row>
    <row r="6" spans="1:8" x14ac:dyDescent="0.25">
      <c r="A6" s="13">
        <v>22</v>
      </c>
      <c r="B6" s="14">
        <v>980221</v>
      </c>
      <c r="C6" s="14">
        <v>1665</v>
      </c>
      <c r="D6" s="21">
        <v>1.69859654098413E-3</v>
      </c>
      <c r="E6" s="13">
        <v>22</v>
      </c>
      <c r="F6" s="14">
        <v>989472</v>
      </c>
      <c r="G6" s="14">
        <v>895</v>
      </c>
      <c r="H6" s="21">
        <v>9.0452281620904897E-4</v>
      </c>
    </row>
    <row r="7" spans="1:8" x14ac:dyDescent="0.25">
      <c r="A7" s="15">
        <v>23</v>
      </c>
      <c r="B7" s="16">
        <v>978556</v>
      </c>
      <c r="C7" s="16">
        <v>1720</v>
      </c>
      <c r="D7" s="23">
        <v>1.7576919460919999E-3</v>
      </c>
      <c r="E7" s="15">
        <v>23</v>
      </c>
      <c r="F7" s="16">
        <v>988577</v>
      </c>
      <c r="G7" s="16">
        <v>885</v>
      </c>
      <c r="H7" s="23">
        <v>8.95226168523039E-4</v>
      </c>
    </row>
    <row r="8" spans="1:8" x14ac:dyDescent="0.25">
      <c r="A8" s="13">
        <v>24</v>
      </c>
      <c r="B8" s="14">
        <v>976836</v>
      </c>
      <c r="C8" s="14">
        <v>1574</v>
      </c>
      <c r="D8" s="21">
        <v>1.6113247259519499E-3</v>
      </c>
      <c r="E8" s="13">
        <v>24</v>
      </c>
      <c r="F8" s="14">
        <v>987692</v>
      </c>
      <c r="G8" s="14">
        <v>902</v>
      </c>
      <c r="H8" s="21">
        <v>9.1324015988789996E-4</v>
      </c>
    </row>
    <row r="9" spans="1:8" x14ac:dyDescent="0.25">
      <c r="A9" s="15">
        <v>25</v>
      </c>
      <c r="B9" s="16">
        <v>975262</v>
      </c>
      <c r="C9" s="16">
        <v>1771</v>
      </c>
      <c r="D9" s="23">
        <v>1.81592228549867E-3</v>
      </c>
      <c r="E9" s="15">
        <v>25</v>
      </c>
      <c r="F9" s="16">
        <v>986790</v>
      </c>
      <c r="G9" s="16">
        <v>930</v>
      </c>
      <c r="H9" s="23">
        <v>9.4244976134739901E-4</v>
      </c>
    </row>
    <row r="10" spans="1:8" x14ac:dyDescent="0.25">
      <c r="A10" s="13">
        <v>26</v>
      </c>
      <c r="B10" s="14">
        <v>973491</v>
      </c>
      <c r="C10" s="14">
        <v>1803</v>
      </c>
      <c r="D10" s="21">
        <v>1.8520972458913299E-3</v>
      </c>
      <c r="E10" s="13">
        <v>26</v>
      </c>
      <c r="F10" s="14">
        <v>985860</v>
      </c>
      <c r="G10" s="14">
        <v>978</v>
      </c>
      <c r="H10" s="21">
        <v>9.9202726553465994E-4</v>
      </c>
    </row>
    <row r="11" spans="1:8" x14ac:dyDescent="0.25">
      <c r="A11" s="15">
        <v>27</v>
      </c>
      <c r="B11" s="16">
        <v>971688</v>
      </c>
      <c r="C11" s="16">
        <v>1841</v>
      </c>
      <c r="D11" s="23">
        <v>1.8946410782061699E-3</v>
      </c>
      <c r="E11" s="15">
        <v>27</v>
      </c>
      <c r="F11" s="16">
        <v>984882</v>
      </c>
      <c r="G11" s="16">
        <v>1034</v>
      </c>
      <c r="H11" s="23">
        <v>1.0498719643571501E-3</v>
      </c>
    </row>
    <row r="12" spans="1:8" x14ac:dyDescent="0.25">
      <c r="A12" s="13">
        <v>28</v>
      </c>
      <c r="B12" s="14">
        <v>969847</v>
      </c>
      <c r="C12" s="14">
        <v>1888</v>
      </c>
      <c r="D12" s="21">
        <v>1.9466988091936201E-3</v>
      </c>
      <c r="E12" s="13">
        <v>28</v>
      </c>
      <c r="F12" s="14">
        <v>983848</v>
      </c>
      <c r="G12" s="14">
        <v>966</v>
      </c>
      <c r="H12" s="21">
        <v>9.8185898634748497E-4</v>
      </c>
    </row>
    <row r="13" spans="1:8" x14ac:dyDescent="0.25">
      <c r="A13" s="15">
        <v>29</v>
      </c>
      <c r="B13" s="16">
        <v>967959</v>
      </c>
      <c r="C13" s="16">
        <v>1678</v>
      </c>
      <c r="D13" s="23">
        <v>1.7335444993021401E-3</v>
      </c>
      <c r="E13" s="15">
        <v>29</v>
      </c>
      <c r="F13" s="16">
        <v>982882</v>
      </c>
      <c r="G13" s="16">
        <v>995</v>
      </c>
      <c r="H13" s="23">
        <v>1.01232904865487E-3</v>
      </c>
    </row>
    <row r="14" spans="1:8" x14ac:dyDescent="0.25">
      <c r="A14" s="13">
        <v>30</v>
      </c>
      <c r="B14" s="14">
        <v>966281</v>
      </c>
      <c r="C14" s="14">
        <v>1927</v>
      </c>
      <c r="D14" s="21">
        <v>1.9942439104152902E-3</v>
      </c>
      <c r="E14" s="13">
        <v>30</v>
      </c>
      <c r="F14" s="14">
        <v>981887</v>
      </c>
      <c r="G14" s="14">
        <v>1056</v>
      </c>
      <c r="H14" s="21">
        <v>1.0754801723619901E-3</v>
      </c>
    </row>
    <row r="15" spans="1:8" x14ac:dyDescent="0.25">
      <c r="A15" s="15">
        <v>31</v>
      </c>
      <c r="B15" s="16">
        <v>964354</v>
      </c>
      <c r="C15" s="16">
        <v>1964</v>
      </c>
      <c r="D15" s="23">
        <v>2.0365965195353599E-3</v>
      </c>
      <c r="E15" s="15">
        <v>31</v>
      </c>
      <c r="F15" s="16">
        <v>980831</v>
      </c>
      <c r="G15" s="16">
        <v>1077</v>
      </c>
      <c r="H15" s="23">
        <v>1.0980484915342199E-3</v>
      </c>
    </row>
    <row r="16" spans="1:8" x14ac:dyDescent="0.25">
      <c r="A16" s="13">
        <v>32</v>
      </c>
      <c r="B16" s="14">
        <v>962390</v>
      </c>
      <c r="C16" s="14">
        <v>2028</v>
      </c>
      <c r="D16" s="21">
        <v>2.1072538160205301E-3</v>
      </c>
      <c r="E16" s="13">
        <v>32</v>
      </c>
      <c r="F16" s="14">
        <v>979754</v>
      </c>
      <c r="G16" s="14">
        <v>1114</v>
      </c>
      <c r="H16" s="21">
        <v>1.1370201091294399E-3</v>
      </c>
    </row>
    <row r="17" spans="1:8" x14ac:dyDescent="0.25">
      <c r="A17" s="15">
        <v>33</v>
      </c>
      <c r="B17" s="16">
        <v>960362</v>
      </c>
      <c r="C17" s="16">
        <v>2118</v>
      </c>
      <c r="D17" s="23">
        <v>2.2054183734883299E-3</v>
      </c>
      <c r="E17" s="15">
        <v>33</v>
      </c>
      <c r="F17" s="16">
        <v>978640</v>
      </c>
      <c r="G17" s="16">
        <v>1165</v>
      </c>
      <c r="H17" s="23">
        <v>1.19042753208534E-3</v>
      </c>
    </row>
    <row r="18" spans="1:8" x14ac:dyDescent="0.25">
      <c r="A18" s="13">
        <v>34</v>
      </c>
      <c r="B18" s="14">
        <v>958244</v>
      </c>
      <c r="C18" s="14">
        <v>2244</v>
      </c>
      <c r="D18" s="21">
        <v>2.34178351234132E-3</v>
      </c>
      <c r="E18" s="13">
        <v>34</v>
      </c>
      <c r="F18" s="14">
        <v>977475</v>
      </c>
      <c r="G18" s="14">
        <v>1235</v>
      </c>
      <c r="H18" s="21">
        <v>1.2634594235146699E-3</v>
      </c>
    </row>
    <row r="19" spans="1:8" x14ac:dyDescent="0.25">
      <c r="A19" s="15">
        <v>35</v>
      </c>
      <c r="B19" s="16">
        <v>956000</v>
      </c>
      <c r="C19" s="16">
        <v>2368</v>
      </c>
      <c r="D19" s="23">
        <v>2.47698744769875E-3</v>
      </c>
      <c r="E19" s="15">
        <v>35</v>
      </c>
      <c r="F19" s="16">
        <v>976240</v>
      </c>
      <c r="G19" s="16">
        <v>1306</v>
      </c>
      <c r="H19" s="23">
        <v>1.3377857903794201E-3</v>
      </c>
    </row>
    <row r="20" spans="1:8" x14ac:dyDescent="0.25">
      <c r="A20" s="13">
        <v>36</v>
      </c>
      <c r="B20" s="14">
        <v>953632</v>
      </c>
      <c r="C20" s="14">
        <v>2516</v>
      </c>
      <c r="D20" s="21">
        <v>2.63833428408443E-3</v>
      </c>
      <c r="E20" s="13">
        <v>36</v>
      </c>
      <c r="F20" s="14">
        <v>974934</v>
      </c>
      <c r="G20" s="14">
        <v>1389</v>
      </c>
      <c r="H20" s="21">
        <v>1.42471182664673E-3</v>
      </c>
    </row>
    <row r="21" spans="1:8" x14ac:dyDescent="0.25">
      <c r="A21" s="15">
        <v>37</v>
      </c>
      <c r="B21" s="16">
        <v>951116</v>
      </c>
      <c r="C21" s="16">
        <v>2671</v>
      </c>
      <c r="D21" s="23">
        <v>2.8082799574394701E-3</v>
      </c>
      <c r="E21" s="15">
        <v>37</v>
      </c>
      <c r="F21" s="16">
        <v>973545</v>
      </c>
      <c r="G21" s="16">
        <v>1476</v>
      </c>
      <c r="H21" s="23">
        <v>1.5161086544535701E-3</v>
      </c>
    </row>
    <row r="22" spans="1:8" x14ac:dyDescent="0.25">
      <c r="A22" s="13">
        <v>38</v>
      </c>
      <c r="B22" s="14">
        <v>948445</v>
      </c>
      <c r="C22" s="14">
        <v>2849</v>
      </c>
      <c r="D22" s="21">
        <v>3.0038642198546E-3</v>
      </c>
      <c r="E22" s="13">
        <v>38</v>
      </c>
      <c r="F22" s="14">
        <v>972069</v>
      </c>
      <c r="G22" s="14">
        <v>1577</v>
      </c>
      <c r="H22" s="21">
        <v>1.62231281935747E-3</v>
      </c>
    </row>
    <row r="23" spans="1:8" x14ac:dyDescent="0.25">
      <c r="A23" s="15">
        <v>39</v>
      </c>
      <c r="B23" s="16">
        <v>945596</v>
      </c>
      <c r="C23" s="16">
        <v>3057</v>
      </c>
      <c r="D23" s="23">
        <v>3.23288169577706E-3</v>
      </c>
      <c r="E23" s="15">
        <v>39</v>
      </c>
      <c r="F23" s="16">
        <v>970492</v>
      </c>
      <c r="G23" s="16">
        <v>1696</v>
      </c>
      <c r="H23" s="23">
        <v>1.7475672133309701E-3</v>
      </c>
    </row>
    <row r="24" spans="1:8" x14ac:dyDescent="0.25">
      <c r="A24" s="13">
        <v>40</v>
      </c>
      <c r="B24" s="14">
        <v>942539</v>
      </c>
      <c r="C24" s="14">
        <v>3296</v>
      </c>
      <c r="D24" s="21">
        <v>3.4969375272535098E-3</v>
      </c>
      <c r="E24" s="13">
        <v>40</v>
      </c>
      <c r="F24" s="14">
        <v>968796</v>
      </c>
      <c r="G24" s="14">
        <v>1831</v>
      </c>
      <c r="H24" s="21">
        <v>1.88997477281079E-3</v>
      </c>
    </row>
    <row r="25" spans="1:8" x14ac:dyDescent="0.25">
      <c r="A25" s="15">
        <v>41</v>
      </c>
      <c r="B25" s="16">
        <v>939243</v>
      </c>
      <c r="C25" s="16">
        <v>3584</v>
      </c>
      <c r="D25" s="23">
        <v>3.8158389256028498E-3</v>
      </c>
      <c r="E25" s="15">
        <v>41</v>
      </c>
      <c r="F25" s="16">
        <v>966965</v>
      </c>
      <c r="G25" s="16">
        <v>1995</v>
      </c>
      <c r="H25" s="23">
        <v>2.0631563707062799E-3</v>
      </c>
    </row>
    <row r="26" spans="1:8" x14ac:dyDescent="0.25">
      <c r="A26" s="13">
        <v>42</v>
      </c>
      <c r="B26" s="14">
        <v>935659</v>
      </c>
      <c r="C26" s="14">
        <v>3877</v>
      </c>
      <c r="D26" s="21">
        <v>4.1436035991744896E-3</v>
      </c>
      <c r="E26" s="13">
        <v>42</v>
      </c>
      <c r="F26" s="14">
        <v>964970</v>
      </c>
      <c r="G26" s="14">
        <v>2162</v>
      </c>
      <c r="H26" s="21">
        <v>2.24048416012933E-3</v>
      </c>
    </row>
    <row r="27" spans="1:8" x14ac:dyDescent="0.25">
      <c r="A27" s="15">
        <v>43</v>
      </c>
      <c r="B27" s="16">
        <v>931782</v>
      </c>
      <c r="C27" s="16">
        <v>4194</v>
      </c>
      <c r="D27" s="23">
        <v>4.50105282136809E-3</v>
      </c>
      <c r="E27" s="15">
        <v>43</v>
      </c>
      <c r="F27" s="16">
        <v>962808</v>
      </c>
      <c r="G27" s="16">
        <v>2344</v>
      </c>
      <c r="H27" s="23">
        <v>2.4345456207260402E-3</v>
      </c>
    </row>
    <row r="28" spans="1:8" x14ac:dyDescent="0.25">
      <c r="A28" s="13">
        <v>44</v>
      </c>
      <c r="B28" s="14">
        <v>927588</v>
      </c>
      <c r="C28" s="14">
        <v>4523</v>
      </c>
      <c r="D28" s="21">
        <v>4.87608722838157E-3</v>
      </c>
      <c r="E28" s="13">
        <v>44</v>
      </c>
      <c r="F28" s="14">
        <v>960464</v>
      </c>
      <c r="G28" s="14">
        <v>2534</v>
      </c>
      <c r="H28" s="21">
        <v>2.6383081510603199E-3</v>
      </c>
    </row>
    <row r="29" spans="1:8" x14ac:dyDescent="0.25">
      <c r="A29" s="15">
        <v>45</v>
      </c>
      <c r="B29" s="16">
        <v>923065</v>
      </c>
      <c r="C29" s="16">
        <v>4866</v>
      </c>
      <c r="D29" s="23">
        <v>5.2715680910878403E-3</v>
      </c>
      <c r="E29" s="15">
        <v>45</v>
      </c>
      <c r="F29" s="16">
        <v>957930</v>
      </c>
      <c r="G29" s="16">
        <v>2733</v>
      </c>
      <c r="H29" s="23">
        <v>2.8530268391218599E-3</v>
      </c>
    </row>
    <row r="30" spans="1:8" x14ac:dyDescent="0.25">
      <c r="A30" s="13">
        <v>46</v>
      </c>
      <c r="B30" s="14">
        <v>918199</v>
      </c>
      <c r="C30" s="14">
        <v>5200</v>
      </c>
      <c r="D30" s="21">
        <v>5.6632603607714698E-3</v>
      </c>
      <c r="E30" s="13">
        <v>46</v>
      </c>
      <c r="F30" s="14">
        <v>955197</v>
      </c>
      <c r="G30" s="14">
        <v>2929</v>
      </c>
      <c r="H30" s="21">
        <v>3.0663831649387499E-3</v>
      </c>
    </row>
    <row r="31" spans="1:8" x14ac:dyDescent="0.25">
      <c r="A31" s="15">
        <v>47</v>
      </c>
      <c r="B31" s="16">
        <v>912999</v>
      </c>
      <c r="C31" s="16">
        <v>5515</v>
      </c>
      <c r="D31" s="23">
        <v>6.0405323554571302E-3</v>
      </c>
      <c r="E31" s="15">
        <v>47</v>
      </c>
      <c r="F31" s="16">
        <v>952268</v>
      </c>
      <c r="G31" s="16">
        <v>3115</v>
      </c>
      <c r="H31" s="23">
        <v>3.2711379569616999E-3</v>
      </c>
    </row>
    <row r="32" spans="1:8" x14ac:dyDescent="0.25">
      <c r="A32" s="13">
        <v>48</v>
      </c>
      <c r="B32" s="14">
        <v>907484</v>
      </c>
      <c r="C32" s="14">
        <v>5815</v>
      </c>
      <c r="D32" s="21">
        <v>6.4078264740755802E-3</v>
      </c>
      <c r="E32" s="13">
        <v>48</v>
      </c>
      <c r="F32" s="14">
        <v>949153</v>
      </c>
      <c r="G32" s="14">
        <v>3294</v>
      </c>
      <c r="H32" s="21">
        <v>3.47046261245553E-3</v>
      </c>
    </row>
    <row r="33" spans="1:8" x14ac:dyDescent="0.25">
      <c r="A33" s="15">
        <v>49</v>
      </c>
      <c r="B33" s="16">
        <v>901669</v>
      </c>
      <c r="C33" s="16">
        <v>6108</v>
      </c>
      <c r="D33" s="23">
        <v>6.7741044662731004E-3</v>
      </c>
      <c r="E33" s="15">
        <v>49</v>
      </c>
      <c r="F33" s="16">
        <v>945859</v>
      </c>
      <c r="G33" s="16">
        <v>3472</v>
      </c>
      <c r="H33" s="23">
        <v>3.67073739320554E-3</v>
      </c>
    </row>
    <row r="34" spans="1:8" x14ac:dyDescent="0.25">
      <c r="A34" s="13">
        <v>50</v>
      </c>
      <c r="B34" s="14">
        <v>895561</v>
      </c>
      <c r="C34" s="14">
        <v>6395</v>
      </c>
      <c r="D34" s="21">
        <v>7.1407754468986503E-3</v>
      </c>
      <c r="E34" s="13">
        <v>50</v>
      </c>
      <c r="F34" s="14">
        <v>942387</v>
      </c>
      <c r="G34" s="14">
        <v>3647</v>
      </c>
      <c r="H34" s="21">
        <v>3.8699600058150199E-3</v>
      </c>
    </row>
    <row r="35" spans="1:8" x14ac:dyDescent="0.25">
      <c r="A35" s="15">
        <v>51</v>
      </c>
      <c r="B35" s="16">
        <v>889166</v>
      </c>
      <c r="C35" s="16">
        <v>6704</v>
      </c>
      <c r="D35" s="23">
        <v>7.5396495142639299E-3</v>
      </c>
      <c r="E35" s="15">
        <v>51</v>
      </c>
      <c r="F35" s="16">
        <v>938740</v>
      </c>
      <c r="G35" s="16">
        <v>3837</v>
      </c>
      <c r="H35" s="23">
        <v>4.0873937405458399E-3</v>
      </c>
    </row>
    <row r="36" spans="1:8" x14ac:dyDescent="0.25">
      <c r="A36" s="13">
        <v>52</v>
      </c>
      <c r="B36" s="14">
        <v>882462</v>
      </c>
      <c r="C36" s="14">
        <v>7027</v>
      </c>
      <c r="D36" s="21">
        <v>7.9629491128229892E-3</v>
      </c>
      <c r="E36" s="13">
        <v>52</v>
      </c>
      <c r="F36" s="14">
        <v>934903</v>
      </c>
      <c r="G36" s="14">
        <v>4035</v>
      </c>
      <c r="H36" s="21">
        <v>4.3159557729518499E-3</v>
      </c>
    </row>
    <row r="37" spans="1:8" x14ac:dyDescent="0.25">
      <c r="A37" s="15">
        <v>53</v>
      </c>
      <c r="B37" s="16">
        <v>875435</v>
      </c>
      <c r="C37" s="16">
        <v>7359</v>
      </c>
      <c r="D37" s="23">
        <v>8.4061066783941707E-3</v>
      </c>
      <c r="E37" s="15">
        <v>53</v>
      </c>
      <c r="F37" s="16">
        <v>930868</v>
      </c>
      <c r="G37" s="16">
        <v>4244</v>
      </c>
      <c r="H37" s="23">
        <v>4.5591856203027704E-3</v>
      </c>
    </row>
    <row r="38" spans="1:8" x14ac:dyDescent="0.25">
      <c r="A38" s="13">
        <v>54</v>
      </c>
      <c r="B38" s="14">
        <v>868076</v>
      </c>
      <c r="C38" s="14">
        <v>7711</v>
      </c>
      <c r="D38" s="21">
        <v>8.8828627908155502E-3</v>
      </c>
      <c r="E38" s="13">
        <v>54</v>
      </c>
      <c r="F38" s="14">
        <v>926624</v>
      </c>
      <c r="G38" s="14">
        <v>4465</v>
      </c>
      <c r="H38" s="21">
        <v>4.81856718582726E-3</v>
      </c>
    </row>
    <row r="39" spans="1:8" x14ac:dyDescent="0.25">
      <c r="A39" s="15">
        <v>55</v>
      </c>
      <c r="B39" s="16">
        <v>860365</v>
      </c>
      <c r="C39" s="16">
        <v>8066</v>
      </c>
      <c r="D39" s="23">
        <v>9.3750908044841399E-3</v>
      </c>
      <c r="E39" s="15">
        <v>55</v>
      </c>
      <c r="F39" s="16">
        <v>922159</v>
      </c>
      <c r="G39" s="16">
        <v>4691</v>
      </c>
      <c r="H39" s="23">
        <v>5.0869752396278702E-3</v>
      </c>
    </row>
    <row r="40" spans="1:8" x14ac:dyDescent="0.25">
      <c r="A40" s="13">
        <v>56</v>
      </c>
      <c r="B40" s="14">
        <v>852299</v>
      </c>
      <c r="C40" s="14">
        <v>8425</v>
      </c>
      <c r="D40" s="21">
        <v>9.8850286108513596E-3</v>
      </c>
      <c r="E40" s="13">
        <v>56</v>
      </c>
      <c r="F40" s="14">
        <v>917468</v>
      </c>
      <c r="G40" s="14">
        <v>4917</v>
      </c>
      <c r="H40" s="21">
        <v>5.3593149842828302E-3</v>
      </c>
    </row>
    <row r="41" spans="1:8" x14ac:dyDescent="0.25">
      <c r="A41" s="15">
        <v>57</v>
      </c>
      <c r="B41" s="16">
        <v>843874</v>
      </c>
      <c r="C41" s="16">
        <v>8941</v>
      </c>
      <c r="D41" s="23">
        <v>1.0595183641159699E-2</v>
      </c>
      <c r="E41" s="15">
        <v>57</v>
      </c>
      <c r="F41" s="16">
        <v>912551</v>
      </c>
      <c r="G41" s="16">
        <v>5222</v>
      </c>
      <c r="H41" s="23">
        <v>5.72241989762764E-3</v>
      </c>
    </row>
    <row r="42" spans="1:8" x14ac:dyDescent="0.25">
      <c r="A42" s="13">
        <v>58</v>
      </c>
      <c r="B42" s="14">
        <v>834933</v>
      </c>
      <c r="C42" s="14">
        <v>9531</v>
      </c>
      <c r="D42" s="21">
        <v>1.14152872146627E-2</v>
      </c>
      <c r="E42" s="13">
        <v>58</v>
      </c>
      <c r="F42" s="14">
        <v>907329</v>
      </c>
      <c r="G42" s="14">
        <v>5569</v>
      </c>
      <c r="H42" s="21">
        <v>6.1377956617720804E-3</v>
      </c>
    </row>
    <row r="43" spans="1:8" x14ac:dyDescent="0.25">
      <c r="A43" s="15">
        <v>59</v>
      </c>
      <c r="B43" s="16">
        <v>825402</v>
      </c>
      <c r="C43" s="16">
        <v>10282</v>
      </c>
      <c r="D43" s="23">
        <v>1.24569603659792E-2</v>
      </c>
      <c r="E43" s="15">
        <v>59</v>
      </c>
      <c r="F43" s="16">
        <v>901760</v>
      </c>
      <c r="G43" s="16">
        <v>6003</v>
      </c>
      <c r="H43" s="23">
        <v>6.6569819020582E-3</v>
      </c>
    </row>
    <row r="44" spans="1:8" x14ac:dyDescent="0.25">
      <c r="A44" s="13">
        <v>60</v>
      </c>
      <c r="B44" s="14">
        <v>815120</v>
      </c>
      <c r="C44" s="14">
        <v>11005</v>
      </c>
      <c r="D44" s="21">
        <v>1.3501079595642399E-2</v>
      </c>
      <c r="E44" s="13">
        <v>60</v>
      </c>
      <c r="F44" s="14">
        <v>895757</v>
      </c>
      <c r="G44" s="14">
        <v>6418</v>
      </c>
      <c r="H44" s="21">
        <v>7.1648895850102198E-3</v>
      </c>
    </row>
    <row r="45" spans="1:8" x14ac:dyDescent="0.25">
      <c r="A45" s="15">
        <v>61</v>
      </c>
      <c r="B45" s="16">
        <v>804115</v>
      </c>
      <c r="C45" s="16">
        <v>11755</v>
      </c>
      <c r="D45" s="23">
        <v>1.4618555803585301E-2</v>
      </c>
      <c r="E45" s="15">
        <v>61</v>
      </c>
      <c r="F45" s="16">
        <v>889339</v>
      </c>
      <c r="G45" s="16">
        <v>6836</v>
      </c>
      <c r="H45" s="23">
        <v>7.68660769402894E-3</v>
      </c>
    </row>
    <row r="46" spans="1:8" x14ac:dyDescent="0.25">
      <c r="A46" s="13">
        <v>62</v>
      </c>
      <c r="B46" s="14">
        <v>792360</v>
      </c>
      <c r="C46" s="14">
        <v>12639</v>
      </c>
      <c r="D46" s="21">
        <v>1.5951082841132801E-2</v>
      </c>
      <c r="E46" s="13">
        <v>62</v>
      </c>
      <c r="F46" s="14">
        <v>882503</v>
      </c>
      <c r="G46" s="14">
        <v>7330</v>
      </c>
      <c r="H46" s="21">
        <v>8.3059207730738598E-3</v>
      </c>
    </row>
    <row r="47" spans="1:8" x14ac:dyDescent="0.25">
      <c r="A47" s="15">
        <v>63</v>
      </c>
      <c r="B47" s="16">
        <v>779721</v>
      </c>
      <c r="C47" s="16">
        <v>13672</v>
      </c>
      <c r="D47" s="23">
        <v>1.7534477075774501E-2</v>
      </c>
      <c r="E47" s="15">
        <v>63</v>
      </c>
      <c r="F47" s="16">
        <v>875173</v>
      </c>
      <c r="G47" s="16">
        <v>7880</v>
      </c>
      <c r="H47" s="23">
        <v>9.0039340793191692E-3</v>
      </c>
    </row>
    <row r="48" spans="1:8" x14ac:dyDescent="0.25">
      <c r="A48" s="13">
        <v>64</v>
      </c>
      <c r="B48" s="14">
        <v>766049</v>
      </c>
      <c r="C48" s="14">
        <v>14862</v>
      </c>
      <c r="D48" s="21">
        <v>1.9400847726450898E-2</v>
      </c>
      <c r="E48" s="13">
        <v>64</v>
      </c>
      <c r="F48" s="14">
        <v>867293</v>
      </c>
      <c r="G48" s="14">
        <v>8474</v>
      </c>
      <c r="H48" s="21">
        <v>9.7706311477205494E-3</v>
      </c>
    </row>
    <row r="49" spans="1:8" x14ac:dyDescent="0.25">
      <c r="A49" s="15">
        <v>65</v>
      </c>
      <c r="B49" s="16">
        <v>751187</v>
      </c>
      <c r="C49" s="16">
        <v>16159</v>
      </c>
      <c r="D49" s="23">
        <v>2.15112881346456E-2</v>
      </c>
      <c r="E49" s="15">
        <v>65</v>
      </c>
      <c r="F49" s="16">
        <v>858819</v>
      </c>
      <c r="G49" s="16">
        <v>9074</v>
      </c>
      <c r="H49" s="23">
        <v>1.0565672161421701E-2</v>
      </c>
    </row>
    <row r="50" spans="1:8" x14ac:dyDescent="0.25">
      <c r="A50" s="13">
        <v>66</v>
      </c>
      <c r="B50" s="14">
        <v>735028</v>
      </c>
      <c r="C50" s="14">
        <v>17501</v>
      </c>
      <c r="D50" s="21">
        <v>2.3809977306987001E-2</v>
      </c>
      <c r="E50" s="13">
        <v>66</v>
      </c>
      <c r="F50" s="14">
        <v>849745</v>
      </c>
      <c r="G50" s="14">
        <v>9701</v>
      </c>
      <c r="H50" s="21">
        <v>1.14163660862965E-2</v>
      </c>
    </row>
    <row r="51" spans="1:8" x14ac:dyDescent="0.25">
      <c r="A51" s="15">
        <v>67</v>
      </c>
      <c r="B51" s="16">
        <v>717527</v>
      </c>
      <c r="C51" s="16">
        <v>18855</v>
      </c>
      <c r="D51" s="23">
        <v>2.6277756795214699E-2</v>
      </c>
      <c r="E51" s="15">
        <v>67</v>
      </c>
      <c r="F51" s="16">
        <v>840044</v>
      </c>
      <c r="G51" s="16">
        <v>10365</v>
      </c>
      <c r="H51" s="23">
        <v>1.23386394046026E-2</v>
      </c>
    </row>
    <row r="52" spans="1:8" x14ac:dyDescent="0.25">
      <c r="A52" s="13">
        <v>68</v>
      </c>
      <c r="B52" s="14">
        <v>698672</v>
      </c>
      <c r="C52" s="14">
        <v>20142</v>
      </c>
      <c r="D52" s="21">
        <v>2.8828978404745E-2</v>
      </c>
      <c r="E52" s="13">
        <v>68</v>
      </c>
      <c r="F52" s="14">
        <v>829679</v>
      </c>
      <c r="G52" s="14">
        <v>11082</v>
      </c>
      <c r="H52" s="21">
        <v>1.3356972997990799E-2</v>
      </c>
    </row>
    <row r="53" spans="1:8" x14ac:dyDescent="0.25">
      <c r="A53" s="15">
        <v>69</v>
      </c>
      <c r="B53" s="16">
        <v>678530</v>
      </c>
      <c r="C53" s="16">
        <v>21389</v>
      </c>
      <c r="D53" s="23">
        <v>3.1522556113952202E-2</v>
      </c>
      <c r="E53" s="15">
        <v>69</v>
      </c>
      <c r="F53" s="16">
        <v>818597</v>
      </c>
      <c r="G53" s="16">
        <v>11831</v>
      </c>
      <c r="H53" s="23">
        <v>1.44527771296499E-2</v>
      </c>
    </row>
    <row r="54" spans="1:8" x14ac:dyDescent="0.25">
      <c r="A54" s="13">
        <v>70</v>
      </c>
      <c r="B54" s="14">
        <v>657141</v>
      </c>
      <c r="C54" s="14">
        <v>22569</v>
      </c>
      <c r="D54" s="21">
        <v>3.4344227494555998E-2</v>
      </c>
      <c r="E54" s="13">
        <v>70</v>
      </c>
      <c r="F54" s="14">
        <v>806766</v>
      </c>
      <c r="G54" s="14">
        <v>12614</v>
      </c>
      <c r="H54" s="21">
        <v>1.5635264748390498E-2</v>
      </c>
    </row>
    <row r="55" spans="1:8" x14ac:dyDescent="0.25">
      <c r="A55" s="15">
        <v>71</v>
      </c>
      <c r="B55" s="16">
        <v>634572</v>
      </c>
      <c r="C55" s="16">
        <v>23740</v>
      </c>
      <c r="D55" s="23">
        <v>3.74110424033837E-2</v>
      </c>
      <c r="E55" s="15">
        <v>71</v>
      </c>
      <c r="F55" s="16">
        <v>794152</v>
      </c>
      <c r="G55" s="16">
        <v>13382</v>
      </c>
      <c r="H55" s="23">
        <v>1.6850678459539199E-2</v>
      </c>
    </row>
    <row r="56" spans="1:8" x14ac:dyDescent="0.25">
      <c r="A56" s="13">
        <v>72</v>
      </c>
      <c r="B56" s="14">
        <v>610832</v>
      </c>
      <c r="C56" s="14">
        <v>24959</v>
      </c>
      <c r="D56" s="21">
        <v>4.0860662178798801E-2</v>
      </c>
      <c r="E56" s="13">
        <v>72</v>
      </c>
      <c r="F56" s="14">
        <v>780770</v>
      </c>
      <c r="G56" s="14">
        <v>14145</v>
      </c>
      <c r="H56" s="21">
        <v>1.8116730919476898E-2</v>
      </c>
    </row>
    <row r="57" spans="1:8" x14ac:dyDescent="0.25">
      <c r="A57" s="15">
        <v>73</v>
      </c>
      <c r="B57" s="16">
        <v>585873</v>
      </c>
      <c r="C57" s="16">
        <v>26175</v>
      </c>
      <c r="D57" s="23">
        <v>4.4676918035137299E-2</v>
      </c>
      <c r="E57" s="15">
        <v>73</v>
      </c>
      <c r="F57" s="16">
        <v>766625</v>
      </c>
      <c r="G57" s="16">
        <v>14901</v>
      </c>
      <c r="H57" s="23">
        <v>1.9437143323006702E-2</v>
      </c>
    </row>
    <row r="58" spans="1:8" x14ac:dyDescent="0.25">
      <c r="A58" s="13">
        <v>74</v>
      </c>
      <c r="B58" s="14">
        <v>559698</v>
      </c>
      <c r="C58" s="14">
        <v>27342</v>
      </c>
      <c r="D58" s="21">
        <v>4.8851344832391799E-2</v>
      </c>
      <c r="E58" s="13">
        <v>74</v>
      </c>
      <c r="F58" s="14">
        <v>751724</v>
      </c>
      <c r="G58" s="14">
        <v>15657</v>
      </c>
      <c r="H58" s="21">
        <v>2.0828123087729002E-2</v>
      </c>
    </row>
    <row r="59" spans="1:8" x14ac:dyDescent="0.25">
      <c r="A59" s="15">
        <v>75</v>
      </c>
      <c r="B59" s="16">
        <v>532356</v>
      </c>
      <c r="C59" s="16">
        <v>28334</v>
      </c>
      <c r="D59" s="23">
        <v>5.3223782581580802E-2</v>
      </c>
      <c r="E59" s="15">
        <v>75</v>
      </c>
      <c r="F59" s="16">
        <v>736067</v>
      </c>
      <c r="G59" s="16">
        <v>16377</v>
      </c>
      <c r="H59" s="23">
        <v>2.2249333280801899E-2</v>
      </c>
    </row>
    <row r="60" spans="1:8" x14ac:dyDescent="0.25">
      <c r="A60" s="13">
        <v>76</v>
      </c>
      <c r="B60" s="14">
        <v>504022</v>
      </c>
      <c r="C60" s="14">
        <v>29111</v>
      </c>
      <c r="D60" s="21">
        <v>5.77573994785942E-2</v>
      </c>
      <c r="E60" s="13">
        <v>76</v>
      </c>
      <c r="F60" s="14">
        <v>719690</v>
      </c>
      <c r="G60" s="14">
        <v>17141</v>
      </c>
      <c r="H60" s="21">
        <v>2.3817199071822601E-2</v>
      </c>
    </row>
    <row r="61" spans="1:8" x14ac:dyDescent="0.25">
      <c r="A61" s="15">
        <v>77</v>
      </c>
      <c r="B61" s="16">
        <v>474911</v>
      </c>
      <c r="C61" s="16">
        <v>29698</v>
      </c>
      <c r="D61" s="23">
        <v>6.2533822126672203E-2</v>
      </c>
      <c r="E61" s="15">
        <v>77</v>
      </c>
      <c r="F61" s="16">
        <v>702549</v>
      </c>
      <c r="G61" s="16">
        <v>17890</v>
      </c>
      <c r="H61" s="23">
        <v>2.5464416005147001E-2</v>
      </c>
    </row>
    <row r="62" spans="1:8" x14ac:dyDescent="0.25">
      <c r="A62" s="13">
        <v>78</v>
      </c>
      <c r="B62" s="14">
        <v>445213</v>
      </c>
      <c r="C62" s="14">
        <v>30082</v>
      </c>
      <c r="D62" s="21">
        <v>6.7567658626320401E-2</v>
      </c>
      <c r="E62" s="13">
        <v>78</v>
      </c>
      <c r="F62" s="14">
        <v>684659</v>
      </c>
      <c r="G62" s="14">
        <v>18607</v>
      </c>
      <c r="H62" s="21">
        <v>2.71770326542118E-2</v>
      </c>
    </row>
    <row r="63" spans="1:8" x14ac:dyDescent="0.25">
      <c r="A63" s="15">
        <v>79</v>
      </c>
      <c r="B63" s="16">
        <v>415131</v>
      </c>
      <c r="C63" s="16">
        <v>30232</v>
      </c>
      <c r="D63" s="23">
        <v>7.2825204573977897E-2</v>
      </c>
      <c r="E63" s="15">
        <v>79</v>
      </c>
      <c r="F63" s="16">
        <v>666052</v>
      </c>
      <c r="G63" s="16">
        <v>19298</v>
      </c>
      <c r="H63" s="23">
        <v>2.8973713764090501E-2</v>
      </c>
    </row>
    <row r="64" spans="1:8" x14ac:dyDescent="0.25">
      <c r="A64" s="13">
        <v>80</v>
      </c>
      <c r="B64" s="14">
        <v>384899</v>
      </c>
      <c r="C64" s="14">
        <v>384899</v>
      </c>
      <c r="D64" s="21">
        <v>1</v>
      </c>
      <c r="E64" s="13">
        <v>80</v>
      </c>
      <c r="F64" s="14">
        <v>646754</v>
      </c>
      <c r="G64" s="14">
        <v>646754</v>
      </c>
      <c r="H64" s="21">
        <v>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Simulateur</vt:lpstr>
      <vt:lpstr>Projection</vt:lpstr>
      <vt:lpstr>Calculs</vt:lpstr>
      <vt:lpstr>Commutation</vt:lpstr>
      <vt:lpstr>Tables_CIMA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BCS</cp:lastModifiedBy>
  <cp:revision>0</cp:revision>
  <dcterms:created xsi:type="dcterms:W3CDTF">2026-07-17T08:00:40Z</dcterms:created>
  <dcterms:modified xsi:type="dcterms:W3CDTF">2026-07-17T08:04:22Z</dcterms:modified>
  <cp:category>Actuariat</cp:category>
  <dc:language>fr-FR</dc:language>
</cp:coreProperties>
</file>