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500" firstSheet="4" activeTab="7"/>
  </bookViews>
  <sheets>
    <sheet name="Amortissement" sheetId="1" r:id="rId1"/>
    <sheet name="Commutation" sheetId="2" r:id="rId2"/>
    <sheet name="Paramètres" sheetId="3" r:id="rId3"/>
    <sheet name="Tarification" sheetId="4" r:id="rId4"/>
    <sheet name="Tableau_de_Bord" sheetId="5" r:id="rId5"/>
    <sheet name="Tables_CIMA" sheetId="6" r:id="rId6"/>
    <sheet name="Calcul_PP" sheetId="7" r:id="rId7"/>
    <sheet name="Provis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F4" authorId="0">
      <text>
        <r>
          <rPr>
            <sz val="9"/>
            <rFont val="Times New Roman"/>
            <charset val="0"/>
          </rPr>
          <t xml:space="preserve">
C'est un test de cohérence interne du modèle actuariel. Il vérifie que la provision mathématique calculée à l'année k est parfaitement compatible avec celle de l'année k+1, les primes, et la mortalité.
L'équation de Fackler stipule que «Les ressources disponibles en début d'année (provision + prime encaissée), capitalisées au taux technique, doivent exactement couvrir les sinistres probables de l'année plus la provision à reconstituer en fin d'année.»
Si le résultat est = 0  alors  tout est cohérent 
Si le résultat est ≠ 0  alors  il y a une incohérence entre les PM, les primes ou les tables de mortalité. 
dans notre cas , toutels les valeurs étant égales à 0 alors nous n’avons aucune crainte sur la qualité de nos calculs
</t>
        </r>
      </text>
    </comment>
    <comment ref="H4" authorId="0">
      <text>
        <r>
          <rPr>
            <sz val="9"/>
            <rFont val="Times New Roman"/>
            <charset val="0"/>
          </rPr>
          <t xml:space="preserve">
C'est un test de cohérence interne du modèle actuariel. Il vérifie que la provision mathématique calculée à l'année k est parfaitement compatible avec celle de l'année k+1, les primes, et la mortalité.
L'équation de Fackler stipule que «Les ressources disponibles en début d'année (provision + prime encaissée), capitalisées au taux technique, doivent exactement couvrir les sinistres probables de l'année plus la provision à reconstituer en fin d'année.»
Si le résultat est = 0  alors  tout est cohérent 
Si le résultat est ≠ 0  alors  il y a une incohérence entre les PM, les primes ou les tables de mortalité. 
dans notre cas , toutels les valeurs étant égales à 0 alors nous n’avons aucune crainte sur la qualité de nos calculs</t>
        </r>
      </text>
    </comment>
  </commentList>
</comments>
</file>

<file path=xl/sharedStrings.xml><?xml version="1.0" encoding="utf-8"?>
<sst xmlns="http://schemas.openxmlformats.org/spreadsheetml/2006/main" count="141" uniqueCount="128">
  <si>
    <t>TABLEAU D'AMORTISSEMENT du CAPITAL RESTANT DÛ (CRD)</t>
  </si>
  <si>
    <t>Capital C₀ (FCFA)</t>
  </si>
  <si>
    <t>Durée n (ans)</t>
  </si>
  <si>
    <t>Taux débiteur τ</t>
  </si>
  <si>
    <t>Taux mensuel τ_m</t>
  </si>
  <si>
    <t>Mensualité m (FCFA)</t>
  </si>
  <si>
    <t>Année k</t>
  </si>
  <si>
    <t>Capital Restant Dû en début</t>
  </si>
  <si>
    <t>Ratio du capital restant dû par rapport au capital initial</t>
  </si>
  <si>
    <t>Annuité annuelle (FCFA)</t>
  </si>
  <si>
    <t>Capital remboursé</t>
  </si>
  <si>
    <t>Intérêts payés</t>
  </si>
  <si>
    <t>Amortissement %</t>
  </si>
  <si>
    <t>FONCTIONS DE COMMUTATION - Tables CIMA H et CIMA F - Taux technique i = 3,5%</t>
  </si>
  <si>
    <t>Âge x</t>
  </si>
  <si>
    <t>D_x (H)</t>
  </si>
  <si>
    <t>C_x (H)</t>
  </si>
  <si>
    <t>M_x (H)</t>
  </si>
  <si>
    <t>N_x (H)</t>
  </si>
  <si>
    <t>D_x (F)</t>
  </si>
  <si>
    <t>C_x (F)</t>
  </si>
  <si>
    <t>M_x (F)</t>
  </si>
  <si>
    <t>N_x (F)</t>
  </si>
  <si>
    <t>SIMULATEUR — ASSURANCE DÉCÈS EMPRUNTEUR SUR DEUX TÊTES (CIMA)</t>
  </si>
  <si>
    <t>A. PARAMÈTRES DU PRÊT</t>
  </si>
  <si>
    <t>Capital initial C₀ (FCFA)</t>
  </si>
  <si>
    <t>Durée du prêt n (années)</t>
  </si>
  <si>
    <t>Taux débiteur τ (annuel %)</t>
  </si>
  <si>
    <t>Taux technique i (%)</t>
  </si>
  <si>
    <t>B. PARAMÈTRES DES ASSURÉS</t>
  </si>
  <si>
    <t>Assuré 1 (Principal)</t>
  </si>
  <si>
    <t>Assuré 2 (Co-emprunteur)</t>
  </si>
  <si>
    <t>Sexe (H=Homme, F=Femme)</t>
  </si>
  <si>
    <t>H</t>
  </si>
  <si>
    <t>F</t>
  </si>
  <si>
    <t>Âge à la souscription</t>
  </si>
  <si>
    <t>Quotité αᵢ (%)</t>
  </si>
  <si>
    <t>C. CHARGEMENTS</t>
  </si>
  <si>
    <t>Chargement inventaire δ (%)</t>
  </si>
  <si>
    <t>Chargement commercial η (%)</t>
  </si>
  <si>
    <t>Frais fixes annuels f (FCFA)</t>
  </si>
  <si>
    <t>TARIFICATION SUR LES  PRIMES ACTUARIELLES (MÉTHODE TABULAIRE CIMA)</t>
  </si>
  <si>
    <t>Rappel des paramètres clés</t>
  </si>
  <si>
    <t>C₀ (FCFA)</t>
  </si>
  <si>
    <t>n (ans)</t>
  </si>
  <si>
    <t>τ débiteur</t>
  </si>
  <si>
    <t>i technique</t>
  </si>
  <si>
    <t>Âge assuré 1</t>
  </si>
  <si>
    <t>Âge assuré 2</t>
  </si>
  <si>
    <t>Sexe assuré 1</t>
  </si>
  <si>
    <t>Sexe assuré 2</t>
  </si>
  <si>
    <t>α₁ quotité 1</t>
  </si>
  <si>
    <t>α₂ quotité 2</t>
  </si>
  <si>
    <t>δ chargement inv.</t>
  </si>
  <si>
    <t>η chargement com.</t>
  </si>
  <si>
    <t>RÉSULTATS ACTUARIELS</t>
  </si>
  <si>
    <t>Composante</t>
  </si>
  <si>
    <t>Assuré 1</t>
  </si>
  <si>
    <t>Assuré 2</t>
  </si>
  <si>
    <t>TOTAL</t>
  </si>
  <si>
    <t>Quotité αᵢ</t>
  </si>
  <si>
    <t>70%</t>
  </si>
  <si>
    <t>30%</t>
  </si>
  <si>
    <t>100%</t>
  </si>
  <si>
    <t>Prime pure unique PP_i (FCFA)</t>
  </si>
  <si>
    <t>Rente-due ä_{x:n|}</t>
  </si>
  <si>
    <t>Prime annuelle nette PA_i (FCFA/an)</t>
  </si>
  <si>
    <t>Prime d'inventaire PI_i (FCFA/an)</t>
  </si>
  <si>
    <t>Prime commerciale PC_i (FCFA/an)</t>
  </si>
  <si>
    <t>Prime mensuelle (FCFA/mois)</t>
  </si>
  <si>
    <t>TAEA global (%)</t>
  </si>
  <si>
    <t>Les valeurs ci-dessus sont calculées pour les paramètres par défaut de la feuille Paramètres. Pour la simulation dynamique , veiller consulter Monsieur NDIONE,  la feuille Calcul_PP.</t>
  </si>
  <si>
    <t xml:space="preserve">TABLEAU DE  SYNTHÈSE </t>
  </si>
  <si>
    <t>RÉSUMÉ DU CONTRAT</t>
  </si>
  <si>
    <t>Capital assuré C₀</t>
  </si>
  <si>
    <t xml:space="preserve"> FCFA</t>
  </si>
  <si>
    <t>Durée du prêt</t>
  </si>
  <si>
    <t xml:space="preserve"> ans</t>
  </si>
  <si>
    <t xml:space="preserve">Taux débiteur </t>
  </si>
  <si>
    <t>Assuré 1 : âge / sexe</t>
  </si>
  <si>
    <t>Assuré 2 : âge / sexe</t>
  </si>
  <si>
    <t>Quotité alapha 1 / alapha 2</t>
  </si>
  <si>
    <t>PRIMES</t>
  </si>
  <si>
    <t>Prime pure unique PP (FCFA)</t>
  </si>
  <si>
    <t>Prime annuelle nette PA (FCFA/an)</t>
  </si>
  <si>
    <t>Prime d'inventaire PI (FCFA/an)</t>
  </si>
  <si>
    <t>Prime commerciale PC (FCFA/an)</t>
  </si>
  <si>
    <t>TAEA (%)</t>
  </si>
  <si>
    <t>TABLES DE MORTALITÉ CIMA H (Hommes) et CIMA F (Femmes),Référence réglementaire CIMA</t>
  </si>
  <si>
    <t xml:space="preserve">Source : Tables CIMA réglementaires  Cohorte initiale l0 = 1 000 000 </t>
  </si>
  <si>
    <t>l_x  (H)</t>
  </si>
  <si>
    <t>d_x  (H)</t>
  </si>
  <si>
    <t>q_x  (H)</t>
  </si>
  <si>
    <t>l_x  (F)</t>
  </si>
  <si>
    <t>d_x  (F)</t>
  </si>
  <si>
    <t>q_x  (F)</t>
  </si>
  <si>
    <t xml:space="preserve">CALCUL  EXHAUSTIF DES PRIMES PURES  ANNÉE PAR ANNÉE </t>
  </si>
  <si>
    <t>k</t>
  </si>
  <si>
    <t>CRD_k</t>
  </si>
  <si>
    <t>Âge x1+k</t>
  </si>
  <si>
    <t>ℓ_{x₁+k} (H)</t>
  </si>
  <si>
    <t>d_{x1+k} (H)</t>
  </si>
  <si>
    <t>v^(k+0,5)</t>
  </si>
  <si>
    <t>phi_k^(1)</t>
  </si>
  <si>
    <t>Âge x₂+k</t>
  </si>
  <si>
    <t>ℓ_{x₂+k} (F)</t>
  </si>
  <si>
    <t>d_{x₂+k} (F)</t>
  </si>
  <si>
    <t>v^(k+0.5)</t>
  </si>
  <si>
    <t>φ_k^(2)</t>
  </si>
  <si>
    <t>TOTAUX</t>
  </si>
  <si>
    <t>Prime pure unique  (FCFA)</t>
  </si>
  <si>
    <t>Prime pure unique (FCFA)</t>
  </si>
  <si>
    <t>Prime pure GLOBALE  (FCFA)</t>
  </si>
  <si>
    <t xml:space="preserve">Rente-due  </t>
  </si>
  <si>
    <t xml:space="preserve">Rente-due </t>
  </si>
  <si>
    <t xml:space="preserve">Prime annuelle nette </t>
  </si>
  <si>
    <t>Prime annuelle nette  (FCFA/an)</t>
  </si>
  <si>
    <t xml:space="preserve">Prime d'inventaire </t>
  </si>
  <si>
    <t xml:space="preserve">Prime commerciale </t>
  </si>
  <si>
    <t>Prime commerciale  (FCFA/an)</t>
  </si>
  <si>
    <t>Prime mensuelle totale (FCFA/mois)</t>
  </si>
  <si>
    <t>TAEA = PC_total / C₀ (%)</t>
  </si>
  <si>
    <t>PROVISIONS MATHÉMATIQUES MÉTHODE PROSPECTIVE AVEC  RÉCURRENCE DE FACKLER</t>
  </si>
  <si>
    <t>PM1(k) FCFA</t>
  </si>
  <si>
    <t>PM Total FCFA</t>
  </si>
  <si>
    <t>PA1 (FCFA)</t>
  </si>
  <si>
    <t>Vérif Fackler 1</t>
  </si>
  <si>
    <t>Vérif Fackler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</si>
</sst>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  <numFmt numFmtId="178" formatCode="0.0000"/>
    <numFmt numFmtId="179" formatCode="0.000000"/>
    <numFmt numFmtId="180" formatCode="0.0000%"/>
    <numFmt numFmtId="181" formatCode="0.000%"/>
    <numFmt numFmtId="182" formatCode="0.0%"/>
    <numFmt numFmtId="183" formatCode="#,##0.0000"/>
    <numFmt numFmtId="184" formatCode="0.00000%"/>
  </numFmts>
  <fonts count="39">
    <font>
      <sz val="11"/>
      <color theme="1"/>
      <name val="Calibri"/>
      <charset val="1"/>
    </font>
    <font>
      <b/>
      <sz val="12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C00000"/>
      <name val="Arial"/>
      <charset val="1"/>
    </font>
    <font>
      <b/>
      <sz val="26"/>
      <color theme="1"/>
      <name val="Calibri"/>
      <charset val="1"/>
    </font>
    <font>
      <sz val="10"/>
      <color rgb="FF008000"/>
      <name val="Arial"/>
      <charset val="1"/>
    </font>
    <font>
      <b/>
      <sz val="10"/>
      <color rgb="FF1F497D"/>
      <name val="Arial"/>
      <charset val="1"/>
    </font>
    <font>
      <b/>
      <sz val="10"/>
      <color rgb="FFC00000"/>
      <name val="Arial"/>
      <charset val="1"/>
    </font>
    <font>
      <b/>
      <sz val="11"/>
      <color rgb="FFC00000"/>
      <name val="Arial"/>
      <charset val="1"/>
    </font>
    <font>
      <b/>
      <sz val="14"/>
      <color rgb="FFFFFFFF"/>
      <name val="Arial"/>
      <charset val="1"/>
    </font>
    <font>
      <i/>
      <sz val="9"/>
      <color rgb="FFC00000"/>
      <name val="Arial"/>
      <charset val="1"/>
    </font>
    <font>
      <b/>
      <sz val="13"/>
      <color rgb="FFFFFFFF"/>
      <name val="Arial"/>
      <charset val="1"/>
    </font>
    <font>
      <sz val="10"/>
      <color rgb="FF0000FF"/>
      <name val="Arial"/>
      <charset val="1"/>
    </font>
    <font>
      <i/>
      <sz val="8"/>
      <color rgb="FF59595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rgb="FF70AD47"/>
        <bgColor rgb="FF99CC00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AAAAAA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176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177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14" applyNumberFormat="0" applyAlignment="0" applyProtection="0">
      <alignment vertical="center"/>
    </xf>
    <xf numFmtId="0" fontId="28" fillId="11" borderId="15" applyNumberFormat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12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87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right" vertical="center"/>
    </xf>
    <xf numFmtId="178" fontId="6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178" fontId="6" fillId="4" borderId="1" xfId="0" applyNumberFormat="1" applyFont="1" applyFill="1" applyBorder="1" applyAlignment="1">
      <alignment horizontal="right" vertical="center"/>
    </xf>
    <xf numFmtId="0" fontId="0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" fontId="8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179" fontId="5" fillId="3" borderId="1" xfId="0" applyNumberFormat="1" applyFont="1" applyFill="1" applyBorder="1" applyAlignment="1">
      <alignment horizontal="right" vertical="center"/>
    </xf>
    <xf numFmtId="4" fontId="5" fillId="3" borderId="4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179" fontId="5" fillId="4" borderId="1" xfId="0" applyNumberFormat="1" applyFont="1" applyFill="1" applyBorder="1" applyAlignment="1">
      <alignment horizontal="right" vertical="center"/>
    </xf>
    <xf numFmtId="4" fontId="5" fillId="4" borderId="4" xfId="0" applyNumberFormat="1" applyFont="1" applyFill="1" applyBorder="1" applyAlignment="1">
      <alignment horizontal="right" vertical="center"/>
    </xf>
    <xf numFmtId="0" fontId="0" fillId="0" borderId="5" xfId="0" applyBorder="1" applyAlignment="1"/>
    <xf numFmtId="0" fontId="0" fillId="0" borderId="6" xfId="0" applyBorder="1" applyAlignment="1"/>
    <xf numFmtId="0" fontId="9" fillId="7" borderId="5" xfId="0" applyFont="1" applyFill="1" applyBorder="1" applyAlignment="1"/>
    <xf numFmtId="4" fontId="4" fillId="7" borderId="4" xfId="0" applyNumberFormat="1" applyFont="1" applyFill="1" applyBorder="1" applyAlignment="1"/>
    <xf numFmtId="0" fontId="4" fillId="0" borderId="5" xfId="0" applyFont="1" applyBorder="1" applyAlignment="1"/>
    <xf numFmtId="4" fontId="10" fillId="0" borderId="4" xfId="0" applyNumberFormat="1" applyFont="1" applyBorder="1" applyAlignment="1"/>
    <xf numFmtId="4" fontId="11" fillId="0" borderId="4" xfId="0" applyNumberFormat="1" applyFont="1" applyBorder="1" applyAlignment="1"/>
    <xf numFmtId="178" fontId="4" fillId="0" borderId="4" xfId="0" applyNumberFormat="1" applyFont="1" applyBorder="1" applyAlignment="1"/>
    <xf numFmtId="4" fontId="4" fillId="0" borderId="4" xfId="0" applyNumberFormat="1" applyFont="1" applyBorder="1" applyAlignment="1"/>
    <xf numFmtId="0" fontId="4" fillId="0" borderId="7" xfId="0" applyFont="1" applyBorder="1" applyAlignment="1"/>
    <xf numFmtId="0" fontId="0" fillId="0" borderId="8" xfId="0" applyBorder="1" applyAlignment="1"/>
    <xf numFmtId="180" fontId="11" fillId="0" borderId="9" xfId="0" applyNumberFormat="1" applyFont="1" applyBorder="1" applyAlignment="1"/>
    <xf numFmtId="0" fontId="0" fillId="0" borderId="7" xfId="0" applyBorder="1" applyAlignment="1"/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10" xfId="0" applyBorder="1" applyAlignment="1"/>
    <xf numFmtId="0" fontId="3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0" borderId="0" xfId="0" applyFont="1" applyAlignment="1"/>
    <xf numFmtId="3" fontId="8" fillId="0" borderId="1" xfId="0" applyNumberFormat="1" applyFont="1" applyBorder="1" applyAlignment="1">
      <alignment horizontal="right" vertical="center"/>
    </xf>
    <xf numFmtId="0" fontId="5" fillId="0" borderId="0" xfId="0" applyFont="1" applyAlignment="1"/>
    <xf numFmtId="1" fontId="8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/>
    <xf numFmtId="4" fontId="8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180" fontId="8" fillId="0" borderId="1" xfId="0" applyNumberFormat="1" applyFont="1" applyBorder="1" applyAlignment="1">
      <alignment horizontal="right" vertical="center"/>
    </xf>
    <xf numFmtId="181" fontId="8" fillId="0" borderId="1" xfId="0" applyNumberFormat="1" applyFont="1" applyBorder="1" applyAlignment="1">
      <alignment horizontal="right" vertical="center"/>
    </xf>
    <xf numFmtId="9" fontId="8" fillId="0" borderId="1" xfId="0" applyNumberFormat="1" applyFont="1" applyBorder="1" applyAlignment="1">
      <alignment horizontal="right" vertical="center"/>
    </xf>
    <xf numFmtId="182" fontId="8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180" fontId="5" fillId="4" borderId="1" xfId="0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right" vertical="center"/>
    </xf>
    <xf numFmtId="0" fontId="16" fillId="0" borderId="0" xfId="0" applyFont="1" applyAlignment="1"/>
    <xf numFmtId="1" fontId="15" fillId="8" borderId="1" xfId="0" applyNumberFormat="1" applyFont="1" applyFill="1" applyBorder="1" applyAlignment="1">
      <alignment horizontal="right" vertical="center"/>
    </xf>
    <xf numFmtId="181" fontId="15" fillId="8" borderId="1" xfId="0" applyNumberFormat="1" applyFont="1" applyFill="1" applyBorder="1" applyAlignment="1">
      <alignment horizontal="right" vertical="center"/>
    </xf>
    <xf numFmtId="181" fontId="15" fillId="3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182" fontId="15" fillId="8" borderId="1" xfId="0" applyNumberFormat="1" applyFont="1" applyFill="1" applyBorder="1" applyAlignment="1">
      <alignment horizontal="right" vertical="center"/>
    </xf>
    <xf numFmtId="3" fontId="15" fillId="8" borderId="1" xfId="0" applyNumberFormat="1" applyFont="1" applyFill="1" applyBorder="1" applyAlignment="1">
      <alignment horizontal="right" vertical="center"/>
    </xf>
    <xf numFmtId="183" fontId="5" fillId="3" borderId="1" xfId="0" applyNumberFormat="1" applyFont="1" applyFill="1" applyBorder="1" applyAlignment="1">
      <alignment horizontal="right" vertical="center"/>
    </xf>
    <xf numFmtId="183" fontId="5" fillId="4" borderId="1" xfId="0" applyNumberFormat="1" applyFont="1" applyFill="1" applyBorder="1" applyAlignment="1">
      <alignment horizontal="right" vertical="center"/>
    </xf>
    <xf numFmtId="184" fontId="8" fillId="0" borderId="1" xfId="0" applyNumberFormat="1" applyFont="1" applyBorder="1" applyAlignment="1">
      <alignment horizontal="right" vertical="center"/>
    </xf>
    <xf numFmtId="178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178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AAAAAA"/>
      <rgbColor rgb="00003366"/>
      <rgbColor rgb="0070AD47"/>
      <rgbColor rgb="00003300"/>
      <rgbColor rgb="00333300"/>
      <rgbColor rgb="00993300"/>
      <rgbColor rgb="00993366"/>
      <rgbColor rgb="001F497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zoomScale="67" zoomScaleNormal="67" workbookViewId="0">
      <selection activeCell="I13" sqref="I13"/>
    </sheetView>
  </sheetViews>
  <sheetFormatPr defaultColWidth="8.69090909090909" defaultRowHeight="14.5" outlineLevelCol="6"/>
  <cols>
    <col min="1" max="1" width="26.3636363636364" style="1" customWidth="1"/>
    <col min="2" max="2" width="18" style="1" customWidth="1"/>
    <col min="3" max="3" width="34.7363636363636" style="1" customWidth="1"/>
    <col min="4" max="4" width="31.8909090909091" style="1" customWidth="1"/>
    <col min="5" max="6" width="18" style="1" customWidth="1"/>
    <col min="7" max="7" width="16" style="1" customWidth="1"/>
  </cols>
  <sheetData>
    <row r="1" ht="15" customHeight="1" spans="1:7">
      <c r="A1" s="2" t="s">
        <v>0</v>
      </c>
      <c r="B1" s="2"/>
      <c r="C1" s="2"/>
      <c r="D1" s="2"/>
      <c r="E1" s="2"/>
      <c r="F1" s="2"/>
      <c r="G1" s="2"/>
    </row>
    <row r="2" ht="14.25" customHeight="1" spans="1:7">
      <c r="A2" s="12"/>
      <c r="B2" s="12"/>
      <c r="C2" s="12"/>
      <c r="D2" s="12"/>
      <c r="E2" s="12"/>
      <c r="F2" s="12"/>
      <c r="G2" s="12"/>
    </row>
    <row r="4" ht="14.25" customHeight="1" spans="1:2">
      <c r="A4" s="53" t="s">
        <v>1</v>
      </c>
      <c r="B4" s="58">
        <f>Paramètres!B5</f>
        <v>10000000</v>
      </c>
    </row>
    <row r="5" ht="14.25" customHeight="1" spans="1:2">
      <c r="A5" s="53" t="s">
        <v>2</v>
      </c>
      <c r="B5" s="54">
        <f>Paramètres!B6</f>
        <v>15</v>
      </c>
    </row>
    <row r="6" ht="14.25" customHeight="1" spans="1:2">
      <c r="A6" s="53" t="s">
        <v>3</v>
      </c>
      <c r="B6" s="61">
        <f>Paramètres!B7</f>
        <v>0.08</v>
      </c>
    </row>
    <row r="7" ht="14.25" customHeight="1" spans="1:2">
      <c r="A7" s="53" t="s">
        <v>4</v>
      </c>
      <c r="B7" s="82">
        <f>Paramètres!B7/12</f>
        <v>0.00666666666666667</v>
      </c>
    </row>
    <row r="8" ht="14.25" customHeight="1" spans="1:2">
      <c r="A8" s="53" t="s">
        <v>5</v>
      </c>
      <c r="B8" s="58">
        <f>Paramètres!B5*(Paramètres!B7/12)/(1-(1+Paramètres!B7/12)^(-12*Paramètres!B6))</f>
        <v>95565.2084330356</v>
      </c>
    </row>
    <row r="10" ht="53" customHeight="1" spans="1:7">
      <c r="A10" s="15" t="s">
        <v>6</v>
      </c>
      <c r="B10" s="4" t="s">
        <v>7</v>
      </c>
      <c r="C10" s="4" t="s">
        <v>8</v>
      </c>
      <c r="D10" s="15" t="s">
        <v>9</v>
      </c>
      <c r="E10" s="15" t="s">
        <v>10</v>
      </c>
      <c r="F10" s="15" t="s">
        <v>11</v>
      </c>
      <c r="G10" s="15" t="s">
        <v>12</v>
      </c>
    </row>
    <row r="11" ht="14.25" customHeight="1" spans="1:7">
      <c r="A11" s="5">
        <v>0</v>
      </c>
      <c r="B11" s="6">
        <f>Paramètres!B5</f>
        <v>10000000</v>
      </c>
      <c r="C11" s="83">
        <f>B11/Paramètres!$B$5</f>
        <v>1</v>
      </c>
      <c r="D11" s="6">
        <f>IF(Paramètres!B6&gt;0,12*Paramètres!B5*(Paramètres!B7/12)/(1-(1+Paramètres!B7/12)^(-12*Paramètres!B6)),0)</f>
        <v>1146782.50119643</v>
      </c>
      <c r="E11" s="6">
        <f>Paramètres!B5-B12</f>
        <v>359784.707109727</v>
      </c>
      <c r="F11" s="6">
        <f>IF(0&gt;=Paramètres!B6,0,D11-E11)</f>
        <v>786997.794086701</v>
      </c>
      <c r="G11" s="84">
        <f>1-B11/Paramètres!$B$5</f>
        <v>0</v>
      </c>
    </row>
    <row r="12" ht="14.25" customHeight="1" spans="1:7">
      <c r="A12" s="8">
        <v>1</v>
      </c>
      <c r="B12" s="9">
        <f>IF(1&gt;=Paramètres!B6,0,Paramètres!B5*((1+Paramètres!B7/12)^(12*Paramètres!B6)-(1+Paramètres!B7/12)^(12*1))/((1+Paramètres!B7/12)^(12*Paramètres!B6)-1))</f>
        <v>9640215.29289027</v>
      </c>
      <c r="C12" s="85">
        <f>B12/Paramètres!$B$5</f>
        <v>0.964021529289027</v>
      </c>
      <c r="D12" s="9">
        <f>IF(Paramètres!B6&gt;0,12*Paramètres!B5*(Paramètres!B7/12)/(1-(1+Paramètres!B7/12)^(-12*Paramètres!B6)),0)</f>
        <v>1146782.50119643</v>
      </c>
      <c r="E12" s="9">
        <f>IF(1&gt;=Paramètres!B6,0,B12-B13)</f>
        <v>389646.660356721</v>
      </c>
      <c r="F12" s="9">
        <f>IF(1&gt;=Paramètres!B6,0,D12-E12)</f>
        <v>757135.840839707</v>
      </c>
      <c r="G12" s="86">
        <f>1-B12/Paramètres!$B$5</f>
        <v>0.0359784707109727</v>
      </c>
    </row>
    <row r="13" ht="14.25" customHeight="1" spans="1:7">
      <c r="A13" s="5">
        <v>2</v>
      </c>
      <c r="B13" s="6">
        <f>IF(2&gt;=Paramètres!B6,0,Paramètres!B5*((1+Paramètres!B7/12)^(12*Paramètres!B6)-(1+Paramètres!B7/12)^(12*2))/((1+Paramètres!B7/12)^(12*Paramètres!B6)-1))</f>
        <v>9250568.63253355</v>
      </c>
      <c r="C13" s="83">
        <f>B13/Paramètres!$B$5</f>
        <v>0.925056863253355</v>
      </c>
      <c r="D13" s="6">
        <f>IF(Paramètres!B6&gt;0,12*Paramètres!B5*(Paramètres!B7/12)/(1-(1+Paramètres!B7/12)^(-12*Paramètres!B6)),0)</f>
        <v>1146782.50119643</v>
      </c>
      <c r="E13" s="6">
        <f>IF(2&gt;=Paramètres!B6,0,B13-B14)</f>
        <v>421987.140995519</v>
      </c>
      <c r="F13" s="6">
        <f>IF(2&gt;=Paramètres!B6,0,D13-E13)</f>
        <v>724795.360200908</v>
      </c>
      <c r="G13" s="84">
        <f>1-B13/Paramètres!$B$5</f>
        <v>0.0749431367466448</v>
      </c>
    </row>
    <row r="14" ht="14.25" customHeight="1" spans="1:7">
      <c r="A14" s="8">
        <v>3</v>
      </c>
      <c r="B14" s="9">
        <f>IF(3&gt;=Paramètres!B6,0,Paramètres!B5*((1+Paramètres!B7/12)^(12*Paramètres!B6)-(1+Paramètres!B7/12)^(12*3))/((1+Paramètres!B7/12)^(12*Paramètres!B6)-1))</f>
        <v>8828581.49153803</v>
      </c>
      <c r="C14" s="85">
        <f>B14/Paramètres!$B$5</f>
        <v>0.882858149153803</v>
      </c>
      <c r="D14" s="9">
        <f>IF(Paramètres!B6&gt;0,12*Paramètres!B5*(Paramètres!B7/12)/(1-(1+Paramètres!B7/12)^(-12*Paramètres!B6)),0)</f>
        <v>1146782.50119643</v>
      </c>
      <c r="E14" s="9">
        <f>IF(3&gt;=Paramètres!B6,0,B14-B15)</f>
        <v>457011.865577259</v>
      </c>
      <c r="F14" s="9">
        <f>IF(3&gt;=Paramètres!B6,0,D14-E14)</f>
        <v>689770.635619169</v>
      </c>
      <c r="G14" s="86">
        <f>1-B14/Paramètres!$B$5</f>
        <v>0.117141850846197</v>
      </c>
    </row>
    <row r="15" ht="14.25" customHeight="1" spans="1:7">
      <c r="A15" s="5">
        <v>4</v>
      </c>
      <c r="B15" s="6">
        <f>IF(4&gt;=Paramètres!B6,0,Paramètres!B5*((1+Paramètres!B7/12)^(12*Paramètres!B6)-(1+Paramètres!B7/12)^(12*4))/((1+Paramètres!B7/12)^(12*Paramètres!B6)-1))</f>
        <v>8371569.62596077</v>
      </c>
      <c r="C15" s="83">
        <f>B15/Paramètres!$B$5</f>
        <v>0.837156962596077</v>
      </c>
      <c r="D15" s="6">
        <f>IF(Paramètres!B6&gt;0,12*Paramètres!B5*(Paramètres!B7/12)/(1-(1+Paramètres!B7/12)^(-12*Paramètres!B6)),0)</f>
        <v>1146782.50119643</v>
      </c>
      <c r="E15" s="6">
        <f>IF(4&gt;=Paramètres!B6,0,B15-B16)</f>
        <v>494943.625025353</v>
      </c>
      <c r="F15" s="6">
        <f>IF(4&gt;=Paramètres!B6,0,D15-E15)</f>
        <v>651838.876171074</v>
      </c>
      <c r="G15" s="84">
        <f>1-B15/Paramètres!$B$5</f>
        <v>0.162843037403923</v>
      </c>
    </row>
    <row r="16" ht="14.25" customHeight="1" spans="1:7">
      <c r="A16" s="8">
        <v>5</v>
      </c>
      <c r="B16" s="9">
        <f>IF(5&gt;=Paramètres!B6,0,Paramètres!B5*((1+Paramètres!B7/12)^(12*Paramètres!B6)-(1+Paramètres!B7/12)^(12*5))/((1+Paramètres!B7/12)^(12*Paramètres!B6)-1))</f>
        <v>7876626.00093542</v>
      </c>
      <c r="C16" s="85">
        <f>B16/Paramètres!$B$5</f>
        <v>0.787662600093542</v>
      </c>
      <c r="D16" s="9">
        <f>IF(Paramètres!B6&gt;0,12*Paramètres!B5*(Paramètres!B7/12)/(1-(1+Paramètres!B7/12)^(-12*Paramètres!B6)),0)</f>
        <v>1146782.50119643</v>
      </c>
      <c r="E16" s="9">
        <f>IF(5&gt;=Paramètres!B6,0,B16-B17)</f>
        <v>536023.701799977</v>
      </c>
      <c r="F16" s="9">
        <f>IF(5&gt;=Paramètres!B6,0,D16-E16)</f>
        <v>610758.799396451</v>
      </c>
      <c r="G16" s="86">
        <f>1-B16/Paramètres!$B$5</f>
        <v>0.212337399906458</v>
      </c>
    </row>
    <row r="17" ht="14.25" customHeight="1" spans="1:7">
      <c r="A17" s="5">
        <v>6</v>
      </c>
      <c r="B17" s="6">
        <f>IF(6&gt;=Paramètres!B6,0,Paramètres!B5*((1+Paramètres!B7/12)^(12*Paramètres!B6)-(1+Paramètres!B7/12)^(12*6))/((1+Paramètres!B7/12)^(12*Paramètres!B6)-1))</f>
        <v>7340602.29913544</v>
      </c>
      <c r="C17" s="83">
        <f>B17/Paramètres!$B$5</f>
        <v>0.734060229913544</v>
      </c>
      <c r="D17" s="6">
        <f>IF(Paramètres!B6&gt;0,12*Paramètres!B5*(Paramètres!B7/12)/(1-(1+Paramètres!B7/12)^(-12*Paramètres!B6)),0)</f>
        <v>1146782.50119643</v>
      </c>
      <c r="E17" s="6">
        <f>IF(6&gt;=Paramètres!B6,0,B17-B18)</f>
        <v>580513.404686511</v>
      </c>
      <c r="F17" s="6">
        <f>IF(6&gt;=Paramètres!B6,0,D17-E17)</f>
        <v>566269.096509916</v>
      </c>
      <c r="G17" s="84">
        <f>1-B17/Paramètres!$B$5</f>
        <v>0.265939770086456</v>
      </c>
    </row>
    <row r="18" ht="14.25" customHeight="1" spans="1:7">
      <c r="A18" s="8">
        <v>7</v>
      </c>
      <c r="B18" s="9">
        <f>IF(7&gt;=Paramètres!B6,0,Paramètres!B5*((1+Paramètres!B7/12)^(12*Paramètres!B6)-(1+Paramètres!B7/12)^(12*7))/((1+Paramètres!B7/12)^(12*Paramètres!B6)-1))</f>
        <v>6760088.89444893</v>
      </c>
      <c r="C18" s="85">
        <f>B18/Paramètres!$B$5</f>
        <v>0.676008889444893</v>
      </c>
      <c r="D18" s="9">
        <f>IF(Paramètres!B6&gt;0,12*Paramètres!B5*(Paramètres!B7/12)/(1-(1+Paramètres!B7/12)^(-12*Paramètres!B6)),0)</f>
        <v>1146782.50119643</v>
      </c>
      <c r="E18" s="9">
        <f>IF(7&gt;=Paramètres!B6,0,B18-B19)</f>
        <v>628695.730970641</v>
      </c>
      <c r="F18" s="9">
        <f>IF(7&gt;=Paramètres!B6,0,D18-E18)</f>
        <v>518086.770225787</v>
      </c>
      <c r="G18" s="86">
        <f>1-B18/Paramètres!$B$5</f>
        <v>0.323991110555107</v>
      </c>
    </row>
    <row r="19" ht="14.25" customHeight="1" spans="1:7">
      <c r="A19" s="5">
        <v>8</v>
      </c>
      <c r="B19" s="6">
        <f>IF(8&gt;=Paramètres!B6,0,Paramètres!B5*((1+Paramètres!B7/12)^(12*Paramètres!B6)-(1+Paramètres!B7/12)^(12*8))/((1+Paramètres!B7/12)^(12*Paramètres!B6)-1))</f>
        <v>6131393.16347829</v>
      </c>
      <c r="C19" s="83">
        <f>B19/Paramètres!$B$5</f>
        <v>0.613139316347829</v>
      </c>
      <c r="D19" s="6">
        <f>IF(Paramètres!B6&gt;0,12*Paramètres!B5*(Paramètres!B7/12)/(1-(1+Paramètres!B7/12)^(-12*Paramètres!B6)),0)</f>
        <v>1146782.50119643</v>
      </c>
      <c r="E19" s="6">
        <f>IF(8&gt;=Paramètres!B6,0,B19-B20)</f>
        <v>680877.16657319</v>
      </c>
      <c r="F19" s="6">
        <f>IF(8&gt;=Paramètres!B6,0,D19-E19)</f>
        <v>465905.334623238</v>
      </c>
      <c r="G19" s="84">
        <f>1-B19/Paramètres!$B$5</f>
        <v>0.386860683652171</v>
      </c>
    </row>
    <row r="20" ht="14.25" customHeight="1" spans="1:7">
      <c r="A20" s="8">
        <v>9</v>
      </c>
      <c r="B20" s="9">
        <f>IF(9&gt;=Paramètres!B6,0,Paramètres!B5*((1+Paramètres!B7/12)^(12*Paramètres!B6)-(1+Paramètres!B7/12)^(12*9))/((1+Paramètres!B7/12)^(12*Paramètres!B6)-1))</f>
        <v>5450515.9969051</v>
      </c>
      <c r="C20" s="85">
        <f>B20/Paramètres!$B$5</f>
        <v>0.54505159969051</v>
      </c>
      <c r="D20" s="9">
        <f>IF(Paramètres!B6&gt;0,12*Paramètres!B5*(Paramètres!B7/12)/(1-(1+Paramètres!B7/12)^(-12*Paramètres!B6)),0)</f>
        <v>1146782.50119643</v>
      </c>
      <c r="E20" s="9">
        <f>IF(9&gt;=Paramètres!B6,0,B20-B21)</f>
        <v>737389.635595259</v>
      </c>
      <c r="F20" s="9">
        <f>IF(9&gt;=Paramètres!B6,0,D20-E20)</f>
        <v>409392.865601168</v>
      </c>
      <c r="G20" s="86">
        <f>1-B20/Paramètres!$B$5</f>
        <v>0.45494840030949</v>
      </c>
    </row>
    <row r="21" ht="14.25" customHeight="1" spans="1:7">
      <c r="A21" s="5">
        <v>10</v>
      </c>
      <c r="B21" s="6">
        <f>IF(10&gt;=Paramètres!B6,0,Paramètres!B5*((1+Paramètres!B7/12)^(12*Paramètres!B6)-(1+Paramètres!B7/12)^(12*10))/((1+Paramètres!B7/12)^(12*Paramètres!B6)-1))</f>
        <v>4713126.36130984</v>
      </c>
      <c r="C21" s="83">
        <f>B21/Paramètres!$B$5</f>
        <v>0.471312636130984</v>
      </c>
      <c r="D21" s="6">
        <f>IF(Paramètres!B6&gt;0,12*Paramètres!B5*(Paramètres!B7/12)/(1-(1+Paramètres!B7/12)^(-12*Paramètres!B6)),0)</f>
        <v>1146782.50119643</v>
      </c>
      <c r="E21" s="6">
        <f>IF(10&gt;=Paramètres!B6,0,B21-B22)</f>
        <v>798592.611674636</v>
      </c>
      <c r="F21" s="6">
        <f>IF(10&gt;=Paramètres!B6,0,D21-E21)</f>
        <v>348189.889521792</v>
      </c>
      <c r="G21" s="84">
        <f>1-B21/Paramètres!$B$5</f>
        <v>0.528687363869016</v>
      </c>
    </row>
    <row r="22" ht="14.25" customHeight="1" spans="1:7">
      <c r="A22" s="8">
        <v>11</v>
      </c>
      <c r="B22" s="9">
        <f>IF(11&gt;=Paramètres!B6,0,Paramètres!B5*((1+Paramètres!B7/12)^(12*Paramètres!B6)-(1+Paramètres!B7/12)^(12*11))/((1+Paramètres!B7/12)^(12*Paramètres!B6)-1))</f>
        <v>3914533.74963521</v>
      </c>
      <c r="C22" s="85">
        <f>B22/Paramètres!$B$5</f>
        <v>0.391453374963521</v>
      </c>
      <c r="D22" s="9">
        <f>IF(Paramètres!B6&gt;0,12*Paramètres!B5*(Paramètres!B7/12)/(1-(1+Paramètres!B7/12)^(-12*Paramètres!B6)),0)</f>
        <v>1146782.50119643</v>
      </c>
      <c r="E22" s="9">
        <f>IF(11&gt;=Paramètres!B6,0,B22-B23)</f>
        <v>864875.40458375</v>
      </c>
      <c r="F22" s="9">
        <f>IF(11&gt;=Paramètres!B6,0,D22-E22)</f>
        <v>281907.096612677</v>
      </c>
      <c r="G22" s="86">
        <f>1-B22/Paramètres!$B$5</f>
        <v>0.608546625036479</v>
      </c>
    </row>
    <row r="23" ht="14.25" customHeight="1" spans="1:7">
      <c r="A23" s="5">
        <v>12</v>
      </c>
      <c r="B23" s="6">
        <f>IF(12&gt;=Paramètres!B6,0,Paramètres!B5*((1+Paramètres!B7/12)^(12*Paramètres!B6)-(1+Paramètres!B7/12)^(12*12))/((1+Paramètres!B7/12)^(12*Paramètres!B6)-1))</f>
        <v>3049658.34505146</v>
      </c>
      <c r="C23" s="83">
        <f>B23/Paramètres!$B$5</f>
        <v>0.304965834505146</v>
      </c>
      <c r="D23" s="6">
        <f>IF(Paramètres!B6&gt;0,12*Paramètres!B5*(Paramètres!B7/12)/(1-(1+Paramètres!B7/12)^(-12*Paramètres!B6)),0)</f>
        <v>1146782.50119643</v>
      </c>
      <c r="E23" s="6">
        <f>IF(12&gt;=Paramètres!B6,0,B23-B24)</f>
        <v>936659.636614149</v>
      </c>
      <c r="F23" s="6">
        <f>IF(12&gt;=Paramètres!B6,0,D23-E23)</f>
        <v>210122.864582279</v>
      </c>
      <c r="G23" s="84">
        <f>1-B23/Paramètres!$B$5</f>
        <v>0.695034165494854</v>
      </c>
    </row>
    <row r="24" ht="14.25" customHeight="1" spans="1:7">
      <c r="A24" s="8">
        <v>13</v>
      </c>
      <c r="B24" s="9">
        <f>IF(13&gt;=Paramètres!B6,0,Paramètres!B5*((1+Paramètres!B7/12)^(12*Paramètres!B6)-(1+Paramètres!B7/12)^(12*13))/((1+Paramètres!B7/12)^(12*Paramètres!B6)-1))</f>
        <v>2112998.70843731</v>
      </c>
      <c r="C24" s="85">
        <f>B24/Paramètres!$B$5</f>
        <v>0.211299870843731</v>
      </c>
      <c r="D24" s="9">
        <f>IF(Paramètres!B6&gt;0,12*Paramètres!B5*(Paramètres!B7/12)/(1-(1+Paramètres!B7/12)^(-12*Paramètres!B6)),0)</f>
        <v>1146782.50119643</v>
      </c>
      <c r="E24" s="9">
        <f>IF(13&gt;=Paramètres!B6,0,B24-B25)</f>
        <v>1014401.92449963</v>
      </c>
      <c r="F24" s="9">
        <f>IF(13&gt;=Paramètres!B6,0,D24-E24)</f>
        <v>132380.576696802</v>
      </c>
      <c r="G24" s="86">
        <f>1-B24/Paramètres!$B$5</f>
        <v>0.788700129156269</v>
      </c>
    </row>
    <row r="25" ht="14.25" customHeight="1" spans="1:7">
      <c r="A25" s="5">
        <v>14</v>
      </c>
      <c r="B25" s="6">
        <f>IF(14&gt;=Paramètres!B6,0,Paramètres!B5*((1+Paramètres!B7/12)^(12*Paramètres!B6)-(1+Paramètres!B7/12)^(12*14))/((1+Paramètres!B7/12)^(12*Paramètres!B6)-1))</f>
        <v>1098596.78393768</v>
      </c>
      <c r="C25" s="83">
        <f>B25/Paramètres!$B$5</f>
        <v>0.109859678393768</v>
      </c>
      <c r="D25" s="6">
        <f>IF(Paramètres!B6&gt;0,12*Paramètres!B5*(Paramètres!B7/12)/(1-(1+Paramètres!B7/12)^(-12*Paramètres!B6)),0)</f>
        <v>1146782.50119643</v>
      </c>
      <c r="E25" s="6">
        <f>IF(14&gt;=Paramètres!B6,0,B25-B26)</f>
        <v>1098596.78393768</v>
      </c>
      <c r="F25" s="6">
        <f>IF(14&gt;=Paramètres!B6,0,D25-E25)</f>
        <v>48185.717258747</v>
      </c>
      <c r="G25" s="84">
        <f>1-B25/Paramètres!$B$5</f>
        <v>0.890140321606232</v>
      </c>
    </row>
    <row r="26" ht="14.25" customHeight="1" spans="1:7">
      <c r="A26" s="8">
        <v>15</v>
      </c>
      <c r="B26" s="9">
        <f>IF(15&gt;=Paramètres!B6,0,Paramètres!B5*((1+Paramètres!B7/12)^(12*Paramètres!B6)-(1+Paramètres!B7/12)^(12*15))/((1+Paramètres!B7/12)^(12*Paramètres!B6)-1))</f>
        <v>0</v>
      </c>
      <c r="C26" s="85">
        <f>B26/Paramètres!$B$5</f>
        <v>0</v>
      </c>
      <c r="D26" s="9">
        <f>IF(Paramètres!B6&gt;0,12*Paramètres!B5*(Paramètres!B7/12)/(1-(1+Paramètres!B7/12)^(-12*Paramètres!B6)),0)</f>
        <v>1146782.50119643</v>
      </c>
      <c r="E26" s="9">
        <f>IF(15&gt;=Paramètres!B6,0,B26-B27)</f>
        <v>0</v>
      </c>
      <c r="F26" s="9">
        <f>IF(15&gt;=Paramètres!B6,0,D26-E26)</f>
        <v>0</v>
      </c>
      <c r="G26" s="86">
        <f>1-B26/Paramètres!$B$5</f>
        <v>1</v>
      </c>
    </row>
    <row r="27" ht="14.25" customHeight="1" spans="1:7">
      <c r="A27" s="5">
        <v>16</v>
      </c>
      <c r="B27" s="6">
        <f>IF(16&gt;=Paramètres!B6,0,Paramètres!B5*((1+Paramètres!B7/12)^(12*Paramètres!B6)-(1+Paramètres!B7/12)^(12*16))/((1+Paramètres!B7/12)^(12*Paramètres!B6)-1))</f>
        <v>0</v>
      </c>
      <c r="C27" s="83">
        <f>B27/Paramètres!$B$5</f>
        <v>0</v>
      </c>
      <c r="D27" s="6">
        <f>IF(Paramètres!B6&gt;0,12*Paramètres!B5*(Paramètres!B7/12)/(1-(1+Paramètres!B7/12)^(-12*Paramètres!B6)),0)</f>
        <v>1146782.50119643</v>
      </c>
      <c r="E27" s="6">
        <f>IF(16&gt;=Paramètres!B6,0,B27-B28)</f>
        <v>0</v>
      </c>
      <c r="F27" s="6">
        <f>IF(16&gt;=Paramètres!B6,0,D27-E27)</f>
        <v>0</v>
      </c>
      <c r="G27" s="84">
        <f>1-B27/Paramètres!$B$5</f>
        <v>1</v>
      </c>
    </row>
    <row r="28" ht="14.25" customHeight="1" spans="1:7">
      <c r="A28" s="8">
        <v>17</v>
      </c>
      <c r="B28" s="9">
        <f>IF(17&gt;=Paramètres!B6,0,Paramètres!B5*((1+Paramètres!B7/12)^(12*Paramètres!B6)-(1+Paramètres!B7/12)^(12*17))/((1+Paramètres!B7/12)^(12*Paramètres!B6)-1))</f>
        <v>0</v>
      </c>
      <c r="C28" s="85">
        <f>B28/Paramètres!$B$5</f>
        <v>0</v>
      </c>
      <c r="D28" s="9">
        <f>IF(Paramètres!B6&gt;0,12*Paramètres!B5*(Paramètres!B7/12)/(1-(1+Paramètres!B7/12)^(-12*Paramètres!B6)),0)</f>
        <v>1146782.50119643</v>
      </c>
      <c r="E28" s="9">
        <f>IF(17&gt;=Paramètres!B6,0,B28-B29)</f>
        <v>0</v>
      </c>
      <c r="F28" s="9">
        <f>IF(17&gt;=Paramètres!B6,0,D28-E28)</f>
        <v>0</v>
      </c>
      <c r="G28" s="86">
        <f>1-B28/Paramètres!$B$5</f>
        <v>1</v>
      </c>
    </row>
    <row r="29" ht="14.25" customHeight="1" spans="1:7">
      <c r="A29" s="5">
        <v>18</v>
      </c>
      <c r="B29" s="6">
        <f>IF(18&gt;=Paramètres!B6,0,Paramètres!B5*((1+Paramètres!B7/12)^(12*Paramètres!B6)-(1+Paramètres!B7/12)^(12*18))/((1+Paramètres!B7/12)^(12*Paramètres!B6)-1))</f>
        <v>0</v>
      </c>
      <c r="C29" s="83">
        <f>B29/Paramètres!$B$5</f>
        <v>0</v>
      </c>
      <c r="D29" s="6">
        <f>IF(Paramètres!B6&gt;0,12*Paramètres!B5*(Paramètres!B7/12)/(1-(1+Paramètres!B7/12)^(-12*Paramètres!B6)),0)</f>
        <v>1146782.50119643</v>
      </c>
      <c r="E29" s="6">
        <f>IF(18&gt;=Paramètres!B6,0,B29-B30)</f>
        <v>0</v>
      </c>
      <c r="F29" s="6">
        <f>IF(18&gt;=Paramètres!B6,0,D29-E29)</f>
        <v>0</v>
      </c>
      <c r="G29" s="84">
        <f>1-B29/Paramètres!$B$5</f>
        <v>1</v>
      </c>
    </row>
    <row r="30" ht="14.25" customHeight="1" spans="1:7">
      <c r="A30" s="8">
        <v>19</v>
      </c>
      <c r="B30" s="9">
        <f>IF(19&gt;=Paramètres!B6,0,Paramètres!B5*((1+Paramètres!B7/12)^(12*Paramètres!B6)-(1+Paramètres!B7/12)^(12*19))/((1+Paramètres!B7/12)^(12*Paramètres!B6)-1))</f>
        <v>0</v>
      </c>
      <c r="C30" s="85">
        <f>B30/Paramètres!$B$5</f>
        <v>0</v>
      </c>
      <c r="D30" s="9">
        <f>IF(Paramètres!B6&gt;0,12*Paramètres!B5*(Paramètres!B7/12)/(1-(1+Paramètres!B7/12)^(-12*Paramètres!B6)),0)</f>
        <v>1146782.50119643</v>
      </c>
      <c r="E30" s="9">
        <f>IF(19&gt;=Paramètres!B6,0,B30-B31)</f>
        <v>0</v>
      </c>
      <c r="F30" s="9">
        <f>IF(19&gt;=Paramètres!B6,0,D30-E30)</f>
        <v>0</v>
      </c>
      <c r="G30" s="86">
        <f>1-B30/Paramètres!$B$5</f>
        <v>1</v>
      </c>
    </row>
    <row r="31" ht="14.25" customHeight="1" spans="1:7">
      <c r="A31" s="5">
        <v>20</v>
      </c>
      <c r="B31" s="6">
        <f>IF(20&gt;=Paramètres!B6,0,Paramètres!B5*((1+Paramètres!B7/12)^(12*Paramètres!B6)-(1+Paramètres!B7/12)^(12*20))/((1+Paramètres!B7/12)^(12*Paramètres!B6)-1))</f>
        <v>0</v>
      </c>
      <c r="C31" s="83">
        <f>B31/Paramètres!$B$5</f>
        <v>0</v>
      </c>
      <c r="D31" s="6">
        <f>IF(Paramètres!B6&gt;0,12*Paramètres!B5*(Paramètres!B7/12)/(1-(1+Paramètres!B7/12)^(-12*Paramètres!B6)),0)</f>
        <v>1146782.50119643</v>
      </c>
      <c r="E31" s="6">
        <f>IF(20&gt;=Paramètres!B6,0,B31-B32)</f>
        <v>0</v>
      </c>
      <c r="F31" s="6">
        <f>IF(20&gt;=Paramètres!B6,0,D31-E31)</f>
        <v>0</v>
      </c>
      <c r="G31" s="84">
        <f>1-B31/Paramètres!$B$5</f>
        <v>1</v>
      </c>
    </row>
    <row r="32" ht="14.25" customHeight="1" spans="1:7">
      <c r="A32" s="8">
        <v>21</v>
      </c>
      <c r="B32" s="9">
        <f>IF(21&gt;=Paramètres!B6,0,Paramètres!B5*((1+Paramètres!B7/12)^(12*Paramètres!B6)-(1+Paramètres!B7/12)^(12*21))/((1+Paramètres!B7/12)^(12*Paramètres!B6)-1))</f>
        <v>0</v>
      </c>
      <c r="C32" s="85">
        <f>B32/Paramètres!$B$5</f>
        <v>0</v>
      </c>
      <c r="D32" s="9">
        <f>IF(Paramètres!B6&gt;0,12*Paramètres!B5*(Paramètres!B7/12)/(1-(1+Paramètres!B7/12)^(-12*Paramètres!B6)),0)</f>
        <v>1146782.50119643</v>
      </c>
      <c r="E32" s="9">
        <f>IF(21&gt;=Paramètres!B6,0,B32-B33)</f>
        <v>0</v>
      </c>
      <c r="F32" s="9">
        <f>IF(21&gt;=Paramètres!B6,0,D32-E32)</f>
        <v>0</v>
      </c>
      <c r="G32" s="86">
        <f>1-B32/Paramètres!$B$5</f>
        <v>1</v>
      </c>
    </row>
    <row r="33" ht="14.25" customHeight="1" spans="1:7">
      <c r="A33" s="5">
        <v>22</v>
      </c>
      <c r="B33" s="6">
        <f>IF(22&gt;=Paramètres!B6,0,Paramètres!B5*((1+Paramètres!B7/12)^(12*Paramètres!B6)-(1+Paramètres!B7/12)^(12*22))/((1+Paramètres!B7/12)^(12*Paramètres!B6)-1))</f>
        <v>0</v>
      </c>
      <c r="C33" s="83">
        <f>B33/Paramètres!$B$5</f>
        <v>0</v>
      </c>
      <c r="D33" s="6">
        <f>IF(Paramètres!B6&gt;0,12*Paramètres!B5*(Paramètres!B7/12)/(1-(1+Paramètres!B7/12)^(-12*Paramètres!B6)),0)</f>
        <v>1146782.50119643</v>
      </c>
      <c r="E33" s="6">
        <f>IF(22&gt;=Paramètres!B6,0,B33-B34)</f>
        <v>0</v>
      </c>
      <c r="F33" s="6">
        <f>IF(22&gt;=Paramètres!B6,0,D33-E33)</f>
        <v>0</v>
      </c>
      <c r="G33" s="84">
        <f>1-B33/Paramètres!$B$5</f>
        <v>1</v>
      </c>
    </row>
    <row r="34" ht="14.25" customHeight="1" spans="1:7">
      <c r="A34" s="8">
        <v>23</v>
      </c>
      <c r="B34" s="9">
        <f>IF(23&gt;=Paramètres!B6,0,Paramètres!B5*((1+Paramètres!B7/12)^(12*Paramètres!B6)-(1+Paramètres!B7/12)^(12*23))/((1+Paramètres!B7/12)^(12*Paramètres!B6)-1))</f>
        <v>0</v>
      </c>
      <c r="C34" s="85">
        <f>B34/Paramètres!$B$5</f>
        <v>0</v>
      </c>
      <c r="D34" s="9">
        <f>IF(Paramètres!B6&gt;0,12*Paramètres!B5*(Paramètres!B7/12)/(1-(1+Paramètres!B7/12)^(-12*Paramètres!B6)),0)</f>
        <v>1146782.50119643</v>
      </c>
      <c r="E34" s="9">
        <f>IF(23&gt;=Paramètres!B6,0,B34-B35)</f>
        <v>0</v>
      </c>
      <c r="F34" s="9">
        <f>IF(23&gt;=Paramètres!B6,0,D34-E34)</f>
        <v>0</v>
      </c>
      <c r="G34" s="86">
        <f>1-B34/Paramètres!$B$5</f>
        <v>1</v>
      </c>
    </row>
    <row r="35" ht="14.25" customHeight="1" spans="1:7">
      <c r="A35" s="5">
        <v>24</v>
      </c>
      <c r="B35" s="6">
        <f>IF(24&gt;=Paramètres!B6,0,Paramètres!B5*((1+Paramètres!B7/12)^(12*Paramètres!B6)-(1+Paramètres!B7/12)^(12*24))/((1+Paramètres!B7/12)^(12*Paramètres!B6)-1))</f>
        <v>0</v>
      </c>
      <c r="C35" s="83">
        <f>B35/Paramètres!$B$5</f>
        <v>0</v>
      </c>
      <c r="D35" s="6">
        <f>IF(Paramètres!B6&gt;0,12*Paramètres!B5*(Paramètres!B7/12)/(1-(1+Paramètres!B7/12)^(-12*Paramètres!B6)),0)</f>
        <v>1146782.50119643</v>
      </c>
      <c r="E35" s="6">
        <f>IF(24&gt;=Paramètres!B6,0,B35-B36)</f>
        <v>0</v>
      </c>
      <c r="F35" s="6">
        <f>IF(24&gt;=Paramètres!B6,0,D35-E35)</f>
        <v>0</v>
      </c>
      <c r="G35" s="84">
        <f>1-B35/Paramètres!$B$5</f>
        <v>1</v>
      </c>
    </row>
    <row r="36" ht="14.25" customHeight="1" spans="1:7">
      <c r="A36" s="8">
        <v>25</v>
      </c>
      <c r="B36" s="9">
        <f>IF(25&gt;=Paramètres!B6,0,Paramètres!B5*((1+Paramètres!B7/12)^(12*Paramètres!B6)-(1+Paramètres!B7/12)^(12*25))/((1+Paramètres!B7/12)^(12*Paramètres!B6)-1))</f>
        <v>0</v>
      </c>
      <c r="C36" s="85">
        <f>B36/Paramètres!$B$5</f>
        <v>0</v>
      </c>
      <c r="D36" s="9">
        <f>IF(Paramètres!B6&gt;0,12*Paramètres!B5*(Paramètres!B7/12)/(1-(1+Paramètres!B7/12)^(-12*Paramètres!B6)),0)</f>
        <v>1146782.50119643</v>
      </c>
      <c r="E36" s="9">
        <f>IF(25&gt;=Paramètres!B6,0,B36-B37)</f>
        <v>0</v>
      </c>
      <c r="F36" s="9">
        <f>IF(25&gt;=Paramètres!B6,0,D36-E36)</f>
        <v>0</v>
      </c>
      <c r="G36" s="86">
        <f>1-B36/Paramètres!$B$5</f>
        <v>1</v>
      </c>
    </row>
    <row r="37" ht="14.25" customHeight="1" spans="1:7">
      <c r="A37" s="5">
        <v>26</v>
      </c>
      <c r="B37" s="6">
        <f>IF(26&gt;=Paramètres!B6,0,Paramètres!B5*((1+Paramètres!B7/12)^(12*Paramètres!B6)-(1+Paramètres!B7/12)^(12*26))/((1+Paramètres!B7/12)^(12*Paramètres!B6)-1))</f>
        <v>0</v>
      </c>
      <c r="C37" s="83">
        <f>B37/Paramètres!$B$5</f>
        <v>0</v>
      </c>
      <c r="D37" s="6">
        <f>IF(Paramètres!B6&gt;0,12*Paramètres!B5*(Paramètres!B7/12)/(1-(1+Paramètres!B7/12)^(-12*Paramètres!B6)),0)</f>
        <v>1146782.50119643</v>
      </c>
      <c r="E37" s="6">
        <f>IF(26&gt;=Paramètres!B6,0,B37-B38)</f>
        <v>0</v>
      </c>
      <c r="F37" s="6">
        <f>IF(26&gt;=Paramètres!B6,0,D37-E37)</f>
        <v>0</v>
      </c>
      <c r="G37" s="84">
        <f>1-B37/Paramètres!$B$5</f>
        <v>1</v>
      </c>
    </row>
    <row r="38" ht="14.25" customHeight="1" spans="1:7">
      <c r="A38" s="8">
        <v>27</v>
      </c>
      <c r="B38" s="9">
        <f>IF(27&gt;=Paramètres!B6,0,Paramètres!B5*((1+Paramètres!B7/12)^(12*Paramètres!B6)-(1+Paramètres!B7/12)^(12*27))/((1+Paramètres!B7/12)^(12*Paramètres!B6)-1))</f>
        <v>0</v>
      </c>
      <c r="C38" s="85">
        <f>B38/Paramètres!$B$5</f>
        <v>0</v>
      </c>
      <c r="D38" s="9">
        <f>IF(Paramètres!B6&gt;0,12*Paramètres!B5*(Paramètres!B7/12)/(1-(1+Paramètres!B7/12)^(-12*Paramètres!B6)),0)</f>
        <v>1146782.50119643</v>
      </c>
      <c r="E38" s="9">
        <f>IF(27&gt;=Paramètres!B6,0,B38-B39)</f>
        <v>0</v>
      </c>
      <c r="F38" s="9">
        <f>IF(27&gt;=Paramètres!B6,0,D38-E38)</f>
        <v>0</v>
      </c>
      <c r="G38" s="86">
        <f>1-B38/Paramètres!$B$5</f>
        <v>1</v>
      </c>
    </row>
    <row r="39" ht="14.25" customHeight="1" spans="1:7">
      <c r="A39" s="5">
        <v>28</v>
      </c>
      <c r="B39" s="6">
        <f>IF(28&gt;=Paramètres!B6,0,Paramètres!B5*((1+Paramètres!B7/12)^(12*Paramètres!B6)-(1+Paramètres!B7/12)^(12*28))/((1+Paramètres!B7/12)^(12*Paramètres!B6)-1))</f>
        <v>0</v>
      </c>
      <c r="C39" s="83">
        <f>B39/Paramètres!$B$5</f>
        <v>0</v>
      </c>
      <c r="D39" s="6">
        <f>IF(Paramètres!B6&gt;0,12*Paramètres!B5*(Paramètres!B7/12)/(1-(1+Paramètres!B7/12)^(-12*Paramètres!B6)),0)</f>
        <v>1146782.50119643</v>
      </c>
      <c r="E39" s="6">
        <f>IF(28&gt;=Paramètres!B6,0,B39-B40)</f>
        <v>0</v>
      </c>
      <c r="F39" s="6">
        <f>IF(28&gt;=Paramètres!B6,0,D39-E39)</f>
        <v>0</v>
      </c>
      <c r="G39" s="84">
        <f>1-B39/Paramètres!$B$5</f>
        <v>1</v>
      </c>
    </row>
    <row r="40" ht="14.25" customHeight="1" spans="1:7">
      <c r="A40" s="8">
        <v>29</v>
      </c>
      <c r="B40" s="9">
        <f>IF(29&gt;=Paramètres!B6,0,Paramètres!B5*((1+Paramètres!B7/12)^(12*Paramètres!B6)-(1+Paramètres!B7/12)^(12*29))/((1+Paramètres!B7/12)^(12*Paramètres!B6)-1))</f>
        <v>0</v>
      </c>
      <c r="C40" s="85">
        <f>B40/Paramètres!$B$5</f>
        <v>0</v>
      </c>
      <c r="D40" s="9">
        <f>IF(Paramètres!B6&gt;0,12*Paramètres!B5*(Paramètres!B7/12)/(1-(1+Paramètres!B7/12)^(-12*Paramètres!B6)),0)</f>
        <v>1146782.50119643</v>
      </c>
      <c r="E40" s="9">
        <f>IF(29&gt;=Paramètres!B6,0,B40-B41)</f>
        <v>0</v>
      </c>
      <c r="F40" s="9">
        <f>IF(29&gt;=Paramètres!B6,0,D40-E40)</f>
        <v>0</v>
      </c>
      <c r="G40" s="86">
        <f>1-B40/Paramètres!$B$5</f>
        <v>1</v>
      </c>
    </row>
    <row r="41" ht="14.25" customHeight="1" spans="1:7">
      <c r="A41" s="5">
        <v>30</v>
      </c>
      <c r="B41" s="6">
        <f>IF(30&gt;=Paramètres!B6,0,Paramètres!B5*((1+Paramètres!B7/12)^(12*Paramètres!B6)-(1+Paramètres!B7/12)^(12*30))/((1+Paramètres!B7/12)^(12*Paramètres!B6)-1))</f>
        <v>0</v>
      </c>
      <c r="C41" s="83">
        <f>B41/Paramètres!$B$5</f>
        <v>0</v>
      </c>
      <c r="D41" s="6">
        <f>IF(Paramètres!B6&gt;0,12*Paramètres!B5*(Paramètres!B7/12)/(1-(1+Paramètres!B7/12)^(-12*Paramètres!B6)),0)</f>
        <v>1146782.50119643</v>
      </c>
      <c r="E41" s="6">
        <f>0</f>
        <v>0</v>
      </c>
      <c r="F41" s="6">
        <f>IF(30&gt;=Paramètres!B6,0,D41-E41)</f>
        <v>0</v>
      </c>
      <c r="G41" s="84">
        <f>1-B41/Paramètres!$B$5</f>
        <v>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workbookViewId="0">
      <selection activeCell="B5" sqref="B5"/>
    </sheetView>
  </sheetViews>
  <sheetFormatPr defaultColWidth="8.69090909090909" defaultRowHeight="14.5"/>
  <cols>
    <col min="1" max="10" width="14" style="1" customWidth="1"/>
  </cols>
  <sheetData>
    <row r="1" ht="15" customHeight="1" spans="1:10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</row>
    <row r="2" ht="14.25" customHeight="1" spans="1:10">
      <c r="A2" s="12"/>
      <c r="B2" s="12"/>
      <c r="C2" s="12"/>
      <c r="D2" s="12"/>
      <c r="E2" s="12"/>
      <c r="F2" s="12"/>
      <c r="G2" s="12"/>
      <c r="H2" s="12"/>
      <c r="I2" s="12"/>
      <c r="J2" s="12"/>
    </row>
    <row r="4" ht="14.25" customHeight="1" spans="1:10">
      <c r="A4" s="15" t="s">
        <v>14</v>
      </c>
      <c r="B4" s="15" t="s">
        <v>15</v>
      </c>
      <c r="C4" s="15" t="s">
        <v>16</v>
      </c>
      <c r="D4" s="15" t="s">
        <v>17</v>
      </c>
      <c r="E4" s="15" t="s">
        <v>18</v>
      </c>
      <c r="F4" s="15" t="s">
        <v>14</v>
      </c>
      <c r="G4" s="15" t="s">
        <v>19</v>
      </c>
      <c r="H4" s="15" t="s">
        <v>20</v>
      </c>
      <c r="I4" s="15" t="s">
        <v>21</v>
      </c>
      <c r="J4" s="15" t="s">
        <v>22</v>
      </c>
    </row>
    <row r="5" ht="14.25" customHeight="1" spans="1:10">
      <c r="A5" s="47">
        <v>20</v>
      </c>
      <c r="B5" s="80">
        <f>VLOOKUP(A5,Tables_CIMA!$A$5:$D$65,2,FALSE())*POWER(1/(1+Paramètres!$B$8),A5)</f>
        <v>494214.244564185</v>
      </c>
      <c r="C5" s="80">
        <f>VLOOKUP(A5,Tables_CIMA!$A$5:$D$65,3,FALSE())*POWER(1/(1+Paramètres!$B$8),A5+0.5)</f>
        <v>765.19874135834</v>
      </c>
      <c r="D5" s="80">
        <f>SUM(C5:C65)</f>
        <v>97421.3393613383</v>
      </c>
      <c r="E5" s="80">
        <f>SUM(B5:B65)</f>
        <v>11782862.6423411</v>
      </c>
      <c r="F5" s="47">
        <v>20</v>
      </c>
      <c r="G5" s="80">
        <f>VLOOKUP(F5,Tables_CIMA!$E$5:$H$65,2,FALSE())*POWER(1/(1+Paramètres!$B$8),F5)</f>
        <v>498122.196881526</v>
      </c>
      <c r="H5" s="80">
        <f>VLOOKUP(F5,Tables_CIMA!$E$5:$H$65,3,FALSE())*POWER(1/(1+Paramètres!$B$8),F5+0.5)</f>
        <v>409.522115291197</v>
      </c>
      <c r="I5" s="80">
        <f>SUM(H5:H65)</f>
        <v>82243.1052962501</v>
      </c>
      <c r="J5" s="80">
        <f>SUM(G5:G65)</f>
        <v>12339614.0551134</v>
      </c>
    </row>
    <row r="6" ht="14.25" customHeight="1" spans="1:10">
      <c r="A6" s="48">
        <v>21</v>
      </c>
      <c r="B6" s="81">
        <f>VLOOKUP(A6,Tables_CIMA!$A$5:$D$65,2,FALSE())*POWER(1/(1+Paramètres!$B$8),A6)</f>
        <v>476749.536240773</v>
      </c>
      <c r="C6" s="81">
        <f>VLOOKUP(A6,Tables_CIMA!$A$5:$D$65,3,FALSE())*POWER(1/(1+Paramètres!$B$8),A6+0.5)</f>
        <v>769.391735400208</v>
      </c>
      <c r="D6" s="81">
        <f>SUM(C6:C65)</f>
        <v>96656.1406199799</v>
      </c>
      <c r="E6" s="81">
        <f>SUM(B6:B65)</f>
        <v>11288648.3977769</v>
      </c>
      <c r="F6" s="48">
        <v>21</v>
      </c>
      <c r="G6" s="81">
        <f>VLOOKUP(F6,Tables_CIMA!$E$5:$H$65,2,FALSE())*POWER(1/(1+Paramètres!$B$8),F6)</f>
        <v>480874.946631239</v>
      </c>
      <c r="H6" s="81">
        <f>VLOOKUP(F6,Tables_CIMA!$E$5:$H$65,3,FALSE())*POWER(1/(1+Paramètres!$B$8),F6+0.5)</f>
        <v>409.037665780383</v>
      </c>
      <c r="I6" s="81">
        <f>SUM(H6:H65)</f>
        <v>81833.5831809589</v>
      </c>
      <c r="J6" s="81">
        <f>SUM(G6:G65)</f>
        <v>11841491.8582318</v>
      </c>
    </row>
    <row r="7" ht="14.25" customHeight="1" spans="1:10">
      <c r="A7" s="47">
        <v>22</v>
      </c>
      <c r="B7" s="80">
        <f>VLOOKUP(A7,Tables_CIMA!$A$5:$D$65,2,FALSE())*POWER(1/(1+Paramètres!$B$8),A7)</f>
        <v>459871.300430345</v>
      </c>
      <c r="C7" s="80">
        <f>VLOOKUP(A7,Tables_CIMA!$A$5:$D$65,3,FALSE())*POWER(1/(1+Paramètres!$B$8),A7+0.5)</f>
        <v>767.814602702764</v>
      </c>
      <c r="D7" s="80">
        <f>SUM(C7:C65)</f>
        <v>95886.7488845797</v>
      </c>
      <c r="E7" s="80">
        <f>SUM(B7:B65)</f>
        <v>10811898.8615361</v>
      </c>
      <c r="F7" s="47">
        <v>22</v>
      </c>
      <c r="G7" s="80">
        <f>VLOOKUP(F7,Tables_CIMA!$E$5:$H$65,2,FALSE())*POWER(1/(1+Paramètres!$B$8),F7)</f>
        <v>464211.41291547</v>
      </c>
      <c r="H7" s="80">
        <f>VLOOKUP(F7,Tables_CIMA!$E$5:$H$65,3,FALSE())*POWER(1/(1+Paramètres!$B$8),F7+0.5)</f>
        <v>412.729170822207</v>
      </c>
      <c r="I7" s="80">
        <f>SUM(H7:H65)</f>
        <v>81424.5455151785</v>
      </c>
      <c r="J7" s="80">
        <f>SUM(G7:G65)</f>
        <v>11360616.9116006</v>
      </c>
    </row>
    <row r="8" ht="14.25" customHeight="1" spans="1:10">
      <c r="A8" s="48">
        <v>23</v>
      </c>
      <c r="B8" s="81">
        <f>VLOOKUP(A8,Tables_CIMA!$A$5:$D$65,2,FALSE())*POWER(1/(1+Paramètres!$B$8),A8)</f>
        <v>443565.376454238</v>
      </c>
      <c r="C8" s="81">
        <f>VLOOKUP(A8,Tables_CIMA!$A$5:$D$65,3,FALSE())*POWER(1/(1+Paramètres!$B$8),A8+0.5)</f>
        <v>766.355408538251</v>
      </c>
      <c r="D8" s="81">
        <f>SUM(C8:C65)</f>
        <v>95118.934281877</v>
      </c>
      <c r="E8" s="81">
        <f>SUM(B8:B65)</f>
        <v>10352027.5611058</v>
      </c>
      <c r="F8" s="48">
        <v>23</v>
      </c>
      <c r="G8" s="81">
        <f>VLOOKUP(F8,Tables_CIMA!$E$5:$H$65,2,FALSE())*POWER(1/(1+Paramètres!$B$8),F8)</f>
        <v>448107.751788351</v>
      </c>
      <c r="H8" s="81">
        <f>VLOOKUP(F8,Tables_CIMA!$E$5:$H$65,3,FALSE())*POWER(1/(1+Paramètres!$B$8),F8+0.5)</f>
        <v>394.316591021135</v>
      </c>
      <c r="I8" s="81">
        <f>SUM(H8:H65)</f>
        <v>81011.8163443563</v>
      </c>
      <c r="J8" s="81">
        <f>SUM(G8:G65)</f>
        <v>10896405.4986851</v>
      </c>
    </row>
    <row r="9" ht="14.25" customHeight="1" spans="1:10">
      <c r="A9" s="47">
        <v>24</v>
      </c>
      <c r="B9" s="80">
        <f>VLOOKUP(A9,Tables_CIMA!$A$5:$D$65,2,FALSE())*POWER(1/(1+Paramètres!$B$8),A9)</f>
        <v>427812.294844908</v>
      </c>
      <c r="C9" s="80">
        <f>VLOOKUP(A9,Tables_CIMA!$A$5:$D$65,3,FALSE())*POWER(1/(1+Paramètres!$B$8),A9+0.5)</f>
        <v>677.588705223687</v>
      </c>
      <c r="D9" s="80">
        <f>SUM(C9:C65)</f>
        <v>94352.5788733387</v>
      </c>
      <c r="E9" s="80">
        <f>SUM(B9:B65)</f>
        <v>9908462.18465156</v>
      </c>
      <c r="F9" s="47">
        <v>24</v>
      </c>
      <c r="G9" s="80">
        <f>VLOOKUP(F9,Tables_CIMA!$E$5:$H$65,2,FALSE())*POWER(1/(1+Paramètres!$B$8),F9)</f>
        <v>432566.757490466</v>
      </c>
      <c r="H9" s="80">
        <f>VLOOKUP(F9,Tables_CIMA!$E$5:$H$65,3,FALSE())*POWER(1/(1+Paramètres!$B$8),F9+0.5)</f>
        <v>388.300515954108</v>
      </c>
      <c r="I9" s="80">
        <f>SUM(H9:H65)</f>
        <v>80617.4997533352</v>
      </c>
      <c r="J9" s="80">
        <f>SUM(G9:G65)</f>
        <v>10448297.7468968</v>
      </c>
    </row>
    <row r="10" ht="14.25" customHeight="1" spans="1:10">
      <c r="A10" s="48">
        <v>25</v>
      </c>
      <c r="B10" s="81">
        <f>VLOOKUP(A10,Tables_CIMA!$A$5:$D$65,2,FALSE())*POWER(1/(1+Paramètres!$B$8),A10)</f>
        <v>412679.179049428</v>
      </c>
      <c r="C10" s="81">
        <f>VLOOKUP(A10,Tables_CIMA!$A$5:$D$65,3,FALSE())*POWER(1/(1+Paramètres!$B$8),A10+0.5)</f>
        <v>736.613444899391</v>
      </c>
      <c r="D10" s="81">
        <f>SUM(C10:C65)</f>
        <v>93674.990168115</v>
      </c>
      <c r="E10" s="81">
        <f>SUM(B10:B65)</f>
        <v>9480649.88980665</v>
      </c>
      <c r="F10" s="48">
        <v>25</v>
      </c>
      <c r="G10" s="81">
        <f>VLOOKUP(F10,Tables_CIMA!$E$5:$H$65,2,FALSE())*POWER(1/(1+Paramètres!$B$8),F10)</f>
        <v>417557.217541732</v>
      </c>
      <c r="H10" s="81">
        <f>VLOOKUP(F10,Tables_CIMA!$E$5:$H$65,3,FALSE())*POWER(1/(1+Paramètres!$B$8),F10+0.5)</f>
        <v>386.815643001939</v>
      </c>
      <c r="I10" s="81">
        <f>SUM(H10:H65)</f>
        <v>80229.1992373811</v>
      </c>
      <c r="J10" s="81">
        <f>SUM(G10:G65)</f>
        <v>10015730.9894063</v>
      </c>
    </row>
    <row r="11" ht="14.25" customHeight="1" spans="1:10">
      <c r="A11" s="47">
        <v>26</v>
      </c>
      <c r="B11" s="80">
        <f>VLOOKUP(A11,Tables_CIMA!$A$5:$D$65,2,FALSE())*POWER(1/(1+Paramètres!$B$8),A11)</f>
        <v>397999.792977228</v>
      </c>
      <c r="C11" s="80">
        <f>VLOOKUP(A11,Tables_CIMA!$A$5:$D$65,3,FALSE())*POWER(1/(1+Paramètres!$B$8),A11+0.5)</f>
        <v>724.5635076957</v>
      </c>
      <c r="D11" s="80">
        <f>SUM(C11:C65)</f>
        <v>92938.3767232156</v>
      </c>
      <c r="E11" s="80">
        <f>SUM(B11:B65)</f>
        <v>9067970.71075723</v>
      </c>
      <c r="F11" s="47">
        <v>26</v>
      </c>
      <c r="G11" s="80">
        <f>VLOOKUP(F11,Tables_CIMA!$E$5:$H$65,2,FALSE())*POWER(1/(1+Paramètres!$B$8),F11)</f>
        <v>403056.706127257</v>
      </c>
      <c r="H11" s="80">
        <f>VLOOKUP(F11,Tables_CIMA!$E$5:$H$65,3,FALSE())*POWER(1/(1+Paramètres!$B$8),F11+0.5)</f>
        <v>393.024465072876</v>
      </c>
      <c r="I11" s="80">
        <f>SUM(H11:H65)</f>
        <v>79842.3835943791</v>
      </c>
      <c r="J11" s="80">
        <f>SUM(G11:G65)</f>
        <v>9598173.77186457</v>
      </c>
    </row>
    <row r="12" ht="14.25" customHeight="1" spans="1:10">
      <c r="A12" s="48">
        <v>27</v>
      </c>
      <c r="B12" s="81">
        <f>VLOOKUP(A12,Tables_CIMA!$A$5:$D$65,2,FALSE())*POWER(1/(1+Paramètres!$B$8),A12)</f>
        <v>383828.655707043</v>
      </c>
      <c r="C12" s="81">
        <f>VLOOKUP(A12,Tables_CIMA!$A$5:$D$65,3,FALSE())*POWER(1/(1+Paramètres!$B$8),A12+0.5)</f>
        <v>714.815842446049</v>
      </c>
      <c r="D12" s="81">
        <f>SUM(C12:C65)</f>
        <v>92213.8132155199</v>
      </c>
      <c r="E12" s="81">
        <f>SUM(B12:B65)</f>
        <v>8669970.91778</v>
      </c>
      <c r="F12" s="48">
        <v>27</v>
      </c>
      <c r="G12" s="81">
        <f>VLOOKUP(F12,Tables_CIMA!$E$5:$H$65,2,FALSE())*POWER(1/(1+Paramètres!$B$8),F12)</f>
        <v>389040.447232099</v>
      </c>
      <c r="H12" s="81">
        <f>VLOOKUP(F12,Tables_CIMA!$E$5:$H$65,3,FALSE())*POWER(1/(1+Paramètres!$B$8),F12+0.5)</f>
        <v>401.477230358074</v>
      </c>
      <c r="I12" s="81">
        <f>SUM(H12:H65)</f>
        <v>79449.3591293063</v>
      </c>
      <c r="J12" s="81">
        <f>SUM(G12:G65)</f>
        <v>9195117.06573731</v>
      </c>
    </row>
    <row r="13" ht="14.25" customHeight="1" spans="1:10">
      <c r="A13" s="47">
        <v>28</v>
      </c>
      <c r="B13" s="80">
        <f>VLOOKUP(A13,Tables_CIMA!$A$5:$D$65,2,FALSE())*POWER(1/(1+Paramètres!$B$8),A13)</f>
        <v>370146.317071447</v>
      </c>
      <c r="C13" s="80">
        <f>VLOOKUP(A13,Tables_CIMA!$A$5:$D$65,3,FALSE())*POWER(1/(1+Paramètres!$B$8),A13+0.5)</f>
        <v>708.275176292101</v>
      </c>
      <c r="D13" s="80">
        <f>SUM(C13:C65)</f>
        <v>91498.9973730739</v>
      </c>
      <c r="E13" s="80">
        <f>SUM(B13:B65)</f>
        <v>8286142.26207295</v>
      </c>
      <c r="F13" s="47">
        <v>28</v>
      </c>
      <c r="G13" s="80">
        <f>VLOOKUP(F13,Tables_CIMA!$E$5:$H$65,2,FALSE())*POWER(1/(1+Paramètres!$B$8),F13)</f>
        <v>375489.859491352</v>
      </c>
      <c r="H13" s="80">
        <f>VLOOKUP(F13,Tables_CIMA!$E$5:$H$65,3,FALSE())*POWER(1/(1+Paramètres!$B$8),F13+0.5)</f>
        <v>362.390794649454</v>
      </c>
      <c r="I13" s="80">
        <f>SUM(H13:H65)</f>
        <v>79047.8818989482</v>
      </c>
      <c r="J13" s="80">
        <f>SUM(G13:G65)</f>
        <v>8806076.61850521</v>
      </c>
    </row>
    <row r="14" ht="14.25" customHeight="1" spans="1:10">
      <c r="A14" s="48">
        <v>29</v>
      </c>
      <c r="B14" s="81">
        <f>VLOOKUP(A14,Tables_CIMA!$A$5:$D$65,2,FALSE())*POWER(1/(1+Paramètres!$B$8),A14)</f>
        <v>356933.095339881</v>
      </c>
      <c r="C14" s="81">
        <f>VLOOKUP(A14,Tables_CIMA!$A$5:$D$65,3,FALSE())*POWER(1/(1+Paramètres!$B$8),A14+0.5)</f>
        <v>608.207312811219</v>
      </c>
      <c r="D14" s="81">
        <f>SUM(C14:C65)</f>
        <v>90790.7221967818</v>
      </c>
      <c r="E14" s="81">
        <f>SUM(B14:B65)</f>
        <v>7915995.94500151</v>
      </c>
      <c r="F14" s="48">
        <v>29</v>
      </c>
      <c r="G14" s="81">
        <f>VLOOKUP(F14,Tables_CIMA!$E$5:$H$65,2,FALSE())*POWER(1/(1+Paramètres!$B$8),F14)</f>
        <v>362435.924056549</v>
      </c>
      <c r="H14" s="81">
        <f>VLOOKUP(F14,Tables_CIMA!$E$5:$H$65,3,FALSE())*POWER(1/(1+Paramètres!$B$8),F14+0.5)</f>
        <v>360.647363675305</v>
      </c>
      <c r="I14" s="81">
        <f>SUM(H14:H65)</f>
        <v>78685.4911042988</v>
      </c>
      <c r="J14" s="81">
        <f>SUM(G14:G65)</f>
        <v>8430586.75901386</v>
      </c>
    </row>
    <row r="15" ht="14.25" customHeight="1" spans="1:10">
      <c r="A15" s="47">
        <v>30</v>
      </c>
      <c r="B15" s="80">
        <f>VLOOKUP(A15,Tables_CIMA!$A$5:$D$65,2,FALSE())*POWER(1/(1+Paramètres!$B$8),A15)</f>
        <v>344265.058875203</v>
      </c>
      <c r="C15" s="80">
        <f>VLOOKUP(A15,Tables_CIMA!$A$5:$D$65,3,FALSE())*POWER(1/(1+Paramètres!$B$8),A15+0.5)</f>
        <v>674.840356179267</v>
      </c>
      <c r="D15" s="80">
        <f>SUM(C15:C65)</f>
        <v>90182.5148839706</v>
      </c>
      <c r="E15" s="80">
        <f>SUM(B15:B65)</f>
        <v>7559062.84966162</v>
      </c>
      <c r="F15" s="47">
        <v>30</v>
      </c>
      <c r="G15" s="80">
        <f>VLOOKUP(F15,Tables_CIMA!$E$5:$H$65,2,FALSE())*POWER(1/(1+Paramètres!$B$8),F15)</f>
        <v>349825.139751063</v>
      </c>
      <c r="H15" s="80">
        <f>VLOOKUP(F15,Tables_CIMA!$E$5:$H$65,3,FALSE())*POWER(1/(1+Paramètres!$B$8),F15+0.5)</f>
        <v>369.813915996526</v>
      </c>
      <c r="I15" s="80">
        <f>SUM(H15:H65)</f>
        <v>78324.8437406234</v>
      </c>
      <c r="J15" s="80">
        <f>SUM(G15:G65)</f>
        <v>8068150.83495731</v>
      </c>
    </row>
    <row r="16" ht="14.25" customHeight="1" spans="1:10">
      <c r="A16" s="48">
        <v>31</v>
      </c>
      <c r="B16" s="81">
        <f>VLOOKUP(A16,Tables_CIMA!$A$5:$D$65,2,FALSE())*POWER(1/(1+Paramètres!$B$8),A16)</f>
        <v>331959.913408669</v>
      </c>
      <c r="C16" s="81">
        <f>VLOOKUP(A16,Tables_CIMA!$A$5:$D$65,3,FALSE())*POWER(1/(1+Paramètres!$B$8),A16+0.5)</f>
        <v>664.538986803888</v>
      </c>
      <c r="D16" s="81">
        <f>SUM(C16:C65)</f>
        <v>89507.6745277913</v>
      </c>
      <c r="E16" s="81">
        <f>SUM(B16:B65)</f>
        <v>7214797.79078642</v>
      </c>
      <c r="F16" s="48">
        <v>31</v>
      </c>
      <c r="G16" s="81">
        <f>VLOOKUP(F16,Tables_CIMA!$E$5:$H$65,2,FALSE())*POWER(1/(1+Paramètres!$B$8),F16)</f>
        <v>337631.796859388</v>
      </c>
      <c r="H16" s="81">
        <f>VLOOKUP(F16,Tables_CIMA!$E$5:$H$65,3,FALSE())*POWER(1/(1+Paramètres!$B$8),F16+0.5)</f>
        <v>364.413690828812</v>
      </c>
      <c r="I16" s="81">
        <f>SUM(H16:H65)</f>
        <v>77955.0298246269</v>
      </c>
      <c r="J16" s="81">
        <f>SUM(G16:G65)</f>
        <v>7718325.69520625</v>
      </c>
    </row>
    <row r="17" ht="14.25" customHeight="1" spans="1:10">
      <c r="A17" s="47">
        <v>32</v>
      </c>
      <c r="B17" s="80">
        <f>VLOOKUP(A17,Tables_CIMA!$A$5:$D$65,2,FALSE())*POWER(1/(1+Paramètres!$B$8),A17)</f>
        <v>320081.009666083</v>
      </c>
      <c r="C17" s="80">
        <f>VLOOKUP(A17,Tables_CIMA!$A$5:$D$65,3,FALSE())*POWER(1/(1+Paramètres!$B$8),A17+0.5)</f>
        <v>662.989396203295</v>
      </c>
      <c r="D17" s="80">
        <f>SUM(C17:C65)</f>
        <v>88843.1355409874</v>
      </c>
      <c r="E17" s="80">
        <f>SUM(B17:B65)</f>
        <v>6882837.87737775</v>
      </c>
      <c r="F17" s="47">
        <v>32</v>
      </c>
      <c r="G17" s="80">
        <f>VLOOKUP(F17,Tables_CIMA!$E$5:$H$65,2,FALSE())*POWER(1/(1+Paramètres!$B$8),F17)</f>
        <v>325856.097366331</v>
      </c>
      <c r="H17" s="80">
        <f>VLOOKUP(F17,Tables_CIMA!$E$5:$H$65,3,FALSE())*POWER(1/(1+Paramètres!$B$8),F17+0.5)</f>
        <v>364.186482924295</v>
      </c>
      <c r="I17" s="80">
        <f>SUM(H17:H65)</f>
        <v>77590.6161337981</v>
      </c>
      <c r="J17" s="80">
        <f>SUM(G17:G65)</f>
        <v>7380693.89834686</v>
      </c>
    </row>
    <row r="18" ht="14.25" customHeight="1" spans="1:10">
      <c r="A18" s="48">
        <v>33</v>
      </c>
      <c r="B18" s="81">
        <f>VLOOKUP(A18,Tables_CIMA!$A$5:$D$65,2,FALSE())*POWER(1/(1+Paramètres!$B$8),A18)</f>
        <v>308605.331146887</v>
      </c>
      <c r="C18" s="81">
        <f>VLOOKUP(A18,Tables_CIMA!$A$5:$D$65,3,FALSE())*POWER(1/(1+Paramètres!$B$8),A18+0.5)</f>
        <v>668.997103906935</v>
      </c>
      <c r="D18" s="81">
        <f>SUM(C18:C65)</f>
        <v>88180.1461447841</v>
      </c>
      <c r="E18" s="81">
        <f>SUM(B18:B65)</f>
        <v>6562756.86771167</v>
      </c>
      <c r="F18" s="48">
        <v>33</v>
      </c>
      <c r="G18" s="81">
        <f>VLOOKUP(F18,Tables_CIMA!$E$5:$H$65,2,FALSE())*POWER(1/(1+Paramètres!$B$8),F18)</f>
        <v>314478.833266612</v>
      </c>
      <c r="H18" s="81">
        <f>VLOOKUP(F18,Tables_CIMA!$E$5:$H$65,3,FALSE())*POWER(1/(1+Paramètres!$B$8),F18+0.5)</f>
        <v>367.979993414343</v>
      </c>
      <c r="I18" s="81">
        <f>SUM(H18:H65)</f>
        <v>77226.4296508738</v>
      </c>
      <c r="J18" s="81">
        <f>SUM(G18:G65)</f>
        <v>7054837.80098053</v>
      </c>
    </row>
    <row r="19" ht="14.25" customHeight="1" spans="1:10">
      <c r="A19" s="47">
        <v>34</v>
      </c>
      <c r="B19" s="80">
        <f>VLOOKUP(A19,Tables_CIMA!$A$5:$D$65,2,FALSE())*POWER(1/(1+Paramètres!$B$8),A19)</f>
        <v>297511.813796541</v>
      </c>
      <c r="C19" s="80">
        <f>VLOOKUP(A19,Tables_CIMA!$A$5:$D$65,3,FALSE())*POWER(1/(1+Paramètres!$B$8),A19+0.5)</f>
        <v>684.826858428634</v>
      </c>
      <c r="D19" s="80">
        <f>SUM(C19:C65)</f>
        <v>87511.1490408771</v>
      </c>
      <c r="E19" s="80">
        <f>SUM(B19:B65)</f>
        <v>6254151.53656478</v>
      </c>
      <c r="F19" s="47">
        <v>34</v>
      </c>
      <c r="G19" s="80">
        <f>VLOOKUP(F19,Tables_CIMA!$E$5:$H$65,2,FALSE())*POWER(1/(1+Paramètres!$B$8),F19)</f>
        <v>303482.578749018</v>
      </c>
      <c r="H19" s="80">
        <f>VLOOKUP(F19,Tables_CIMA!$E$5:$H$65,3,FALSE())*POWER(1/(1+Paramètres!$B$8),F19+0.5)</f>
        <v>376.898917183317</v>
      </c>
      <c r="I19" s="80">
        <f>SUM(H19:H65)</f>
        <v>76858.4496574595</v>
      </c>
      <c r="J19" s="80">
        <f>SUM(G19:G65)</f>
        <v>6740358.96771391</v>
      </c>
    </row>
    <row r="20" ht="14.25" customHeight="1" spans="1:10">
      <c r="A20" s="48">
        <v>35</v>
      </c>
      <c r="B20" s="81">
        <f>VLOOKUP(A20,Tables_CIMA!$A$5:$D$65,2,FALSE())*POWER(1/(1+Paramètres!$B$8),A20)</f>
        <v>286777.879745184</v>
      </c>
      <c r="C20" s="81">
        <f>VLOOKUP(A20,Tables_CIMA!$A$5:$D$65,3,FALSE())*POWER(1/(1+Paramètres!$B$8),A20+0.5)</f>
        <v>698.231247151397</v>
      </c>
      <c r="D20" s="81">
        <f>SUM(C20:C65)</f>
        <v>86826.3221824485</v>
      </c>
      <c r="E20" s="81">
        <f>SUM(B20:B65)</f>
        <v>5956639.72276824</v>
      </c>
      <c r="F20" s="48">
        <v>35</v>
      </c>
      <c r="G20" s="81">
        <f>VLOOKUP(F20,Tables_CIMA!$E$5:$H$65,2,FALSE())*POWER(1/(1+Paramètres!$B$8),F20)</f>
        <v>292849.411425145</v>
      </c>
      <c r="H20" s="81">
        <f>VLOOKUP(F20,Tables_CIMA!$E$5:$H$65,3,FALSE())*POWER(1/(1+Paramètres!$B$8),F20+0.5)</f>
        <v>385.088686140086</v>
      </c>
      <c r="I20" s="81">
        <f>SUM(H20:H65)</f>
        <v>76481.5507402761</v>
      </c>
      <c r="J20" s="81">
        <f>SUM(G20:G65)</f>
        <v>6436876.3889649</v>
      </c>
    </row>
    <row r="21" ht="14.25" customHeight="1" spans="1:10">
      <c r="A21" s="47">
        <v>36</v>
      </c>
      <c r="B21" s="80">
        <f>VLOOKUP(A21,Tables_CIMA!$A$5:$D$65,2,FALSE())*POWER(1/(1+Paramètres!$B$8),A21)</f>
        <v>276393.75317563</v>
      </c>
      <c r="C21" s="80">
        <f>VLOOKUP(A21,Tables_CIMA!$A$5:$D$65,3,FALSE())*POWER(1/(1+Paramètres!$B$8),A21+0.5)</f>
        <v>716.783285119188</v>
      </c>
      <c r="D21" s="80">
        <f>SUM(C21:C65)</f>
        <v>86128.0909352971</v>
      </c>
      <c r="E21" s="80">
        <f>SUM(B21:B65)</f>
        <v>5669861.84302305</v>
      </c>
      <c r="F21" s="47">
        <v>36</v>
      </c>
      <c r="G21" s="80">
        <f>VLOOKUP(F21,Tables_CIMA!$E$5:$H$65,2,FALSE())*POWER(1/(1+Paramètres!$B$8),F21)</f>
        <v>282567.769704173</v>
      </c>
      <c r="H21" s="80">
        <f>VLOOKUP(F21,Tables_CIMA!$E$5:$H$65,3,FALSE())*POWER(1/(1+Paramètres!$B$8),F21+0.5)</f>
        <v>395.712234908804</v>
      </c>
      <c r="I21" s="80">
        <f>SUM(H21:H65)</f>
        <v>76096.4620541361</v>
      </c>
      <c r="J21" s="80">
        <f>SUM(G21:G65)</f>
        <v>6144026.97753975</v>
      </c>
    </row>
    <row r="22" ht="14.25" customHeight="1" spans="1:10">
      <c r="A22" s="48">
        <v>37</v>
      </c>
      <c r="B22" s="81">
        <f>VLOOKUP(A22,Tables_CIMA!$A$5:$D$65,2,FALSE())*POWER(1/(1+Paramètres!$B$8),A22)</f>
        <v>266342.544986203</v>
      </c>
      <c r="C22" s="81">
        <f>VLOOKUP(A22,Tables_CIMA!$A$5:$D$65,3,FALSE())*POWER(1/(1+Paramètres!$B$8),A22+0.5)</f>
        <v>735.208925506076</v>
      </c>
      <c r="D22" s="81">
        <f>SUM(C22:C65)</f>
        <v>85411.3076501779</v>
      </c>
      <c r="E22" s="81">
        <f>SUM(B22:B65)</f>
        <v>5393468.08984743</v>
      </c>
      <c r="F22" s="48">
        <v>37</v>
      </c>
      <c r="G22" s="81">
        <f>VLOOKUP(F22,Tables_CIMA!$E$5:$H$65,2,FALSE())*POWER(1/(1+Paramètres!$B$8),F22)</f>
        <v>272623.373971832</v>
      </c>
      <c r="H22" s="81">
        <f>VLOOKUP(F22,Tables_CIMA!$E$5:$H$65,3,FALSE())*POWER(1/(1+Paramètres!$B$8),F22+0.5)</f>
        <v>406.27793861736</v>
      </c>
      <c r="I22" s="81">
        <f>SUM(H22:H65)</f>
        <v>75700.7498192273</v>
      </c>
      <c r="J22" s="81">
        <f>SUM(G22:G65)</f>
        <v>5861459.20783558</v>
      </c>
    </row>
    <row r="23" ht="14.25" customHeight="1" spans="1:10">
      <c r="A23" s="47">
        <v>38</v>
      </c>
      <c r="B23" s="80">
        <f>VLOOKUP(A23,Tables_CIMA!$A$5:$D$65,2,FALSE())*POWER(1/(1+Paramètres!$B$8),A23)</f>
        <v>256613.121309473</v>
      </c>
      <c r="C23" s="80">
        <f>VLOOKUP(A23,Tables_CIMA!$A$5:$D$65,3,FALSE())*POWER(1/(1+Paramètres!$B$8),A23+0.5)</f>
        <v>757.685510598469</v>
      </c>
      <c r="D23" s="80">
        <f>SUM(C23:C65)</f>
        <v>84676.0987246719</v>
      </c>
      <c r="E23" s="80">
        <f>SUM(B23:B65)</f>
        <v>5127125.54486122</v>
      </c>
      <c r="F23" s="47">
        <v>38</v>
      </c>
      <c r="G23" s="80">
        <f>VLOOKUP(F23,Tables_CIMA!$E$5:$H$65,2,FALSE())*POWER(1/(1+Paramètres!$B$8),F23)</f>
        <v>263004.876632992</v>
      </c>
      <c r="H23" s="80">
        <f>VLOOKUP(F23,Tables_CIMA!$E$5:$H$65,3,FALSE())*POWER(1/(1+Paramètres!$B$8),F23+0.5)</f>
        <v>419.399807024846</v>
      </c>
      <c r="I23" s="80">
        <f>SUM(H23:H65)</f>
        <v>75294.4718806099</v>
      </c>
      <c r="J23" s="80">
        <f>SUM(G23:G65)</f>
        <v>5588835.83386375</v>
      </c>
    </row>
    <row r="24" ht="14.25" customHeight="1" spans="1:10">
      <c r="A24" s="48">
        <v>39</v>
      </c>
      <c r="B24" s="81">
        <f>VLOOKUP(A24,Tables_CIMA!$A$5:$D$65,2,FALSE())*POWER(1/(1+Paramètres!$B$8),A24)</f>
        <v>247190.618682151</v>
      </c>
      <c r="C24" s="81">
        <f>VLOOKUP(A24,Tables_CIMA!$A$5:$D$65,3,FALSE())*POWER(1/(1+Paramètres!$B$8),A24+0.5)</f>
        <v>785.509825771402</v>
      </c>
      <c r="D24" s="81">
        <f>SUM(C24:C65)</f>
        <v>83918.4132140734</v>
      </c>
      <c r="E24" s="81">
        <f>SUM(B24:B65)</f>
        <v>4870512.42355175</v>
      </c>
      <c r="F24" s="48">
        <v>39</v>
      </c>
      <c r="G24" s="81">
        <f>VLOOKUP(F24,Tables_CIMA!$E$5:$H$65,2,FALSE())*POWER(1/(1+Paramètres!$B$8),F24)</f>
        <v>253698.74439621</v>
      </c>
      <c r="H24" s="81">
        <f>VLOOKUP(F24,Tables_CIMA!$E$5:$H$65,3,FALSE())*POWER(1/(1+Paramètres!$B$8),F24+0.5)</f>
        <v>435.794787212397</v>
      </c>
      <c r="I24" s="81">
        <f>SUM(H24:H65)</f>
        <v>74875.0720735851</v>
      </c>
      <c r="J24" s="81">
        <f>SUM(G24:G65)</f>
        <v>5325830.95723076</v>
      </c>
    </row>
    <row r="25" ht="14.25" customHeight="1" spans="1:10">
      <c r="A25" s="47">
        <v>40</v>
      </c>
      <c r="B25" s="80">
        <f>VLOOKUP(A25,Tables_CIMA!$A$5:$D$65,2,FALSE())*POWER(1/(1+Paramètres!$B$8),A25)</f>
        <v>238059.401599658</v>
      </c>
      <c r="C25" s="80">
        <f>VLOOKUP(A25,Tables_CIMA!$A$5:$D$65,3,FALSE())*POWER(1/(1+Paramètres!$B$8),A25+0.5)</f>
        <v>818.282072425065</v>
      </c>
      <c r="D25" s="80">
        <f>SUM(C25:C65)</f>
        <v>83132.903388302</v>
      </c>
      <c r="E25" s="80">
        <f>SUM(B25:B65)</f>
        <v>4623321.8048696</v>
      </c>
      <c r="F25" s="47">
        <v>40</v>
      </c>
      <c r="G25" s="80">
        <f>VLOOKUP(F25,Tables_CIMA!$E$5:$H$65,2,FALSE())*POWER(1/(1+Paramètres!$B$8),F25)</f>
        <v>244691.196897043</v>
      </c>
      <c r="H25" s="80">
        <f>VLOOKUP(F25,Tables_CIMA!$E$5:$H$65,3,FALSE())*POWER(1/(1+Paramètres!$B$8),F25+0.5)</f>
        <v>454.573566325938</v>
      </c>
      <c r="I25" s="80">
        <f>SUM(H25:H65)</f>
        <v>74439.2772863727</v>
      </c>
      <c r="J25" s="80">
        <f>SUM(G25:G65)</f>
        <v>5072132.21283455</v>
      </c>
    </row>
    <row r="26" ht="14.25" customHeight="1" spans="1:10">
      <c r="A26" s="48">
        <v>41</v>
      </c>
      <c r="B26" s="81">
        <f>VLOOKUP(A26,Tables_CIMA!$A$5:$D$65,2,FALSE())*POWER(1/(1+Paramètres!$B$8),A26)</f>
        <v>229204.756274868</v>
      </c>
      <c r="C26" s="81">
        <f>VLOOKUP(A26,Tables_CIMA!$A$5:$D$65,3,FALSE())*POWER(1/(1+Paramètres!$B$8),A26+0.5)</f>
        <v>859.693186169572</v>
      </c>
      <c r="D26" s="81">
        <f>SUM(C26:C65)</f>
        <v>82314.6213158769</v>
      </c>
      <c r="E26" s="81">
        <f>SUM(B26:B65)</f>
        <v>4385262.40326994</v>
      </c>
      <c r="F26" s="48">
        <v>41</v>
      </c>
      <c r="G26" s="81">
        <f>VLOOKUP(F26,Tables_CIMA!$E$5:$H$65,2,FALSE())*POWER(1/(1+Paramètres!$B$8),F26)</f>
        <v>235969.79392056</v>
      </c>
      <c r="H26" s="81">
        <f>VLOOKUP(F26,Tables_CIMA!$E$5:$H$65,3,FALSE())*POWER(1/(1+Paramètres!$B$8),F26+0.5)</f>
        <v>478.540152457672</v>
      </c>
      <c r="I26" s="81">
        <f>SUM(H26:H65)</f>
        <v>73984.7037200467</v>
      </c>
      <c r="J26" s="81">
        <f>SUM(G26:G65)</f>
        <v>4827441.0159375</v>
      </c>
    </row>
    <row r="27" ht="14.25" customHeight="1" spans="1:10">
      <c r="A27" s="47">
        <v>42</v>
      </c>
      <c r="B27" s="80">
        <f>VLOOKUP(A27,Tables_CIMA!$A$5:$D$65,2,FALSE())*POWER(1/(1+Paramètres!$B$8),A27)</f>
        <v>220608.838496562</v>
      </c>
      <c r="C27" s="80">
        <f>VLOOKUP(A27,Tables_CIMA!$A$5:$D$65,3,FALSE())*POWER(1/(1+Paramètres!$B$8),A27+0.5)</f>
        <v>898.526592364193</v>
      </c>
      <c r="D27" s="80">
        <f>SUM(C27:C65)</f>
        <v>81454.9281297074</v>
      </c>
      <c r="E27" s="80">
        <f>SUM(B27:B65)</f>
        <v>4156057.64699507</v>
      </c>
      <c r="F27" s="47">
        <v>42</v>
      </c>
      <c r="G27" s="80">
        <f>VLOOKUP(F27,Tables_CIMA!$E$5:$H$65,2,FALSE())*POWER(1/(1+Paramètres!$B$8),F27)</f>
        <v>227519.759745834</v>
      </c>
      <c r="H27" s="80">
        <f>VLOOKUP(F27,Tables_CIMA!$E$5:$H$65,3,FALSE())*POWER(1/(1+Paramètres!$B$8),F27+0.5)</f>
        <v>501.061256820063</v>
      </c>
      <c r="I27" s="80">
        <f>SUM(H27:H65)</f>
        <v>73506.163567589</v>
      </c>
      <c r="J27" s="80">
        <f>SUM(G27:G65)</f>
        <v>4591471.22201694</v>
      </c>
    </row>
    <row r="28" ht="14.25" customHeight="1" spans="1:10">
      <c r="A28" s="48">
        <v>43</v>
      </c>
      <c r="B28" s="81">
        <f>VLOOKUP(A28,Tables_CIMA!$A$5:$D$65,2,FALSE())*POWER(1/(1+Paramètres!$B$8),A28)</f>
        <v>212265.432772326</v>
      </c>
      <c r="C28" s="81">
        <f>VLOOKUP(A28,Tables_CIMA!$A$5:$D$65,3,FALSE())*POWER(1/(1+Paramètres!$B$8),A28+0.5)</f>
        <v>939.124585440813</v>
      </c>
      <c r="D28" s="81">
        <f>SUM(C28:C65)</f>
        <v>80556.4015373432</v>
      </c>
      <c r="E28" s="81">
        <f>SUM(B28:B65)</f>
        <v>3935448.80849851</v>
      </c>
      <c r="F28" s="48">
        <v>43</v>
      </c>
      <c r="G28" s="81">
        <f>VLOOKUP(F28,Tables_CIMA!$E$5:$H$65,2,FALSE())*POWER(1/(1+Paramètres!$B$8),F28)</f>
        <v>219333.338481166</v>
      </c>
      <c r="H28" s="81">
        <f>VLOOKUP(F28,Tables_CIMA!$E$5:$H$65,3,FALSE())*POWER(1/(1+Paramètres!$B$8),F28+0.5)</f>
        <v>524.870774504832</v>
      </c>
      <c r="I28" s="81">
        <f>SUM(H28:H65)</f>
        <v>73005.102310769</v>
      </c>
      <c r="J28" s="81">
        <f>SUM(G28:G65)</f>
        <v>4363951.46227111</v>
      </c>
    </row>
    <row r="29" ht="14.25" customHeight="1" spans="1:10">
      <c r="A29" s="47">
        <v>44</v>
      </c>
      <c r="B29" s="80">
        <f>VLOOKUP(A29,Tables_CIMA!$A$5:$D$65,2,FALSE())*POWER(1/(1+Paramètres!$B$8),A29)</f>
        <v>204164.265552915</v>
      </c>
      <c r="C29" s="80">
        <f>VLOOKUP(A29,Tables_CIMA!$A$5:$D$65,3,FALSE())*POWER(1/(1+Paramètres!$B$8),A29+0.5)</f>
        <v>978.545495163046</v>
      </c>
      <c r="D29" s="80">
        <f>SUM(C29:C65)</f>
        <v>79617.2769519024</v>
      </c>
      <c r="E29" s="80">
        <f>SUM(B29:B65)</f>
        <v>3723183.37572618</v>
      </c>
      <c r="F29" s="47">
        <v>44</v>
      </c>
      <c r="G29" s="80">
        <f>VLOOKUP(F29,Tables_CIMA!$E$5:$H$65,2,FALSE())*POWER(1/(1+Paramètres!$B$8),F29)</f>
        <v>211400.349239118</v>
      </c>
      <c r="H29" s="80">
        <f>VLOOKUP(F29,Tables_CIMA!$E$5:$H$65,3,FALSE())*POWER(1/(1+Paramètres!$B$8),F29+0.5)</f>
        <v>548.227787915799</v>
      </c>
      <c r="I29" s="80">
        <f>SUM(H29:H65)</f>
        <v>72480.2315362642</v>
      </c>
      <c r="J29" s="80">
        <f>SUM(G29:G65)</f>
        <v>4144618.12378994</v>
      </c>
    </row>
    <row r="30" ht="14.25" customHeight="1" spans="1:10">
      <c r="A30" s="48">
        <v>45</v>
      </c>
      <c r="B30" s="81">
        <f>VLOOKUP(A30,Tables_CIMA!$A$5:$D$65,2,FALSE())*POWER(1/(1+Paramètres!$B$8),A30)</f>
        <v>196298.302207885</v>
      </c>
      <c r="C30" s="81">
        <f>VLOOKUP(A30,Tables_CIMA!$A$5:$D$65,3,FALSE())*POWER(1/(1+Paramètres!$B$8),A30+0.5)</f>
        <v>1017.15277672858</v>
      </c>
      <c r="D30" s="81">
        <f>SUM(C30:C65)</f>
        <v>78638.7314567393</v>
      </c>
      <c r="E30" s="81">
        <f>SUM(B30:B65)</f>
        <v>3519019.11017327</v>
      </c>
      <c r="F30" s="48">
        <v>45</v>
      </c>
      <c r="G30" s="81">
        <f>VLOOKUP(F30,Tables_CIMA!$E$5:$H$65,2,FALSE())*POWER(1/(1+Paramètres!$B$8),F30)</f>
        <v>203712.66664211</v>
      </c>
      <c r="H30" s="81">
        <f>VLOOKUP(F30,Tables_CIMA!$E$5:$H$65,3,FALSE())*POWER(1/(1+Paramètres!$B$8),F30+0.5)</f>
        <v>571.286177311798</v>
      </c>
      <c r="I30" s="81">
        <f>SUM(H30:H65)</f>
        <v>71932.0037483483</v>
      </c>
      <c r="J30" s="81">
        <f>SUM(G30:G65)</f>
        <v>3933217.77455082</v>
      </c>
    </row>
    <row r="31" ht="14.25" customHeight="1" spans="1:10">
      <c r="A31" s="47">
        <v>46</v>
      </c>
      <c r="B31" s="80">
        <f>VLOOKUP(A31,Tables_CIMA!$A$5:$D$65,2,FALSE())*POWER(1/(1+Paramètres!$B$8),A31)</f>
        <v>188660.388735876</v>
      </c>
      <c r="C31" s="80">
        <f>VLOOKUP(A31,Tables_CIMA!$A$5:$D$65,3,FALSE())*POWER(1/(1+Paramètres!$B$8),A31+0.5)</f>
        <v>1050.2122464639</v>
      </c>
      <c r="D31" s="80">
        <f>SUM(C31:C65)</f>
        <v>77621.5786800107</v>
      </c>
      <c r="E31" s="80">
        <f>SUM(B31:B65)</f>
        <v>3322720.80796538</v>
      </c>
      <c r="F31" s="47">
        <v>46</v>
      </c>
      <c r="G31" s="80">
        <f>VLOOKUP(F31,Tables_CIMA!$E$5:$H$65,2,FALSE())*POWER(1/(1+Paramètres!$B$8),F31)</f>
        <v>196262.28882774</v>
      </c>
      <c r="H31" s="80">
        <f>VLOOKUP(F31,Tables_CIMA!$E$5:$H$65,3,FALSE())*POWER(1/(1+Paramètres!$B$8),F31+0.5)</f>
        <v>591.552244210148</v>
      </c>
      <c r="I31" s="80">
        <f>SUM(H31:H65)</f>
        <v>71360.7175710366</v>
      </c>
      <c r="J31" s="80">
        <f>SUM(G31:G65)</f>
        <v>3729505.10790871</v>
      </c>
    </row>
    <row r="32" ht="14.25" customHeight="1" spans="1:10">
      <c r="A32" s="48">
        <v>47</v>
      </c>
      <c r="B32" s="81">
        <f>VLOOKUP(A32,Tables_CIMA!$A$5:$D$65,2,FALSE())*POWER(1/(1+Paramètres!$B$8),A32)</f>
        <v>181248.266506957</v>
      </c>
      <c r="C32" s="81">
        <f>VLOOKUP(A32,Tables_CIMA!$A$5:$D$65,3,FALSE())*POWER(1/(1+Paramètres!$B$8),A32+0.5)</f>
        <v>1076.16509462067</v>
      </c>
      <c r="D32" s="81">
        <f>SUM(C32:C65)</f>
        <v>76571.3664335468</v>
      </c>
      <c r="E32" s="81">
        <f>SUM(B32:B65)</f>
        <v>3134060.41922951</v>
      </c>
      <c r="F32" s="48">
        <v>47</v>
      </c>
      <c r="G32" s="81">
        <f>VLOOKUP(F32,Tables_CIMA!$E$5:$H$65,2,FALSE())*POWER(1/(1+Paramètres!$B$8),F32)</f>
        <v>189043.935699871</v>
      </c>
      <c r="H32" s="81">
        <f>VLOOKUP(F32,Tables_CIMA!$E$5:$H$65,3,FALSE())*POWER(1/(1+Paramètres!$B$8),F32+0.5)</f>
        <v>607.843022618925</v>
      </c>
      <c r="I32" s="81">
        <f>SUM(H32:H65)</f>
        <v>70769.1653268264</v>
      </c>
      <c r="J32" s="81">
        <f>SUM(G32:G65)</f>
        <v>3533242.81908097</v>
      </c>
    </row>
    <row r="33" ht="14.25" customHeight="1" spans="1:10">
      <c r="A33" s="47">
        <v>48</v>
      </c>
      <c r="B33" s="80">
        <f>VLOOKUP(A33,Tables_CIMA!$A$5:$D$65,2,FALSE())*POWER(1/(1+Paramètres!$B$8),A33)</f>
        <v>174061.285496378</v>
      </c>
      <c r="C33" s="80">
        <f>VLOOKUP(A33,Tables_CIMA!$A$5:$D$65,3,FALSE())*POWER(1/(1+Paramètres!$B$8),A33+0.5)</f>
        <v>1096.33367499602</v>
      </c>
      <c r="D33" s="80">
        <f>SUM(C33:C65)</f>
        <v>75495.2013389262</v>
      </c>
      <c r="E33" s="80">
        <f>SUM(B33:B65)</f>
        <v>2952812.15272255</v>
      </c>
      <c r="F33" s="47">
        <v>48</v>
      </c>
      <c r="G33" s="80">
        <f>VLOOKUP(F33,Tables_CIMA!$E$5:$H$65,2,FALSE())*POWER(1/(1+Paramètres!$B$8),F33)</f>
        <v>182053.668508473</v>
      </c>
      <c r="H33" s="80">
        <f>VLOOKUP(F33,Tables_CIMA!$E$5:$H$65,3,FALSE())*POWER(1/(1+Paramètres!$B$8),F33+0.5)</f>
        <v>621.035791132742</v>
      </c>
      <c r="I33" s="80">
        <f>SUM(H33:H65)</f>
        <v>70161.3223042075</v>
      </c>
      <c r="J33" s="80">
        <f>SUM(G33:G65)</f>
        <v>3344198.8833811</v>
      </c>
    </row>
    <row r="34" ht="14.25" customHeight="1" spans="1:10">
      <c r="A34" s="48">
        <v>49</v>
      </c>
      <c r="B34" s="81">
        <f>VLOOKUP(A34,Tables_CIMA!$A$5:$D$65,2,FALSE())*POWER(1/(1+Paramètres!$B$8),A34)</f>
        <v>167097.517858031</v>
      </c>
      <c r="C34" s="81">
        <f>VLOOKUP(A34,Tables_CIMA!$A$5:$D$65,3,FALSE())*POWER(1/(1+Paramètres!$B$8),A34+0.5)</f>
        <v>1112.63242852289</v>
      </c>
      <c r="D34" s="81">
        <f>SUM(C34:C65)</f>
        <v>74398.8676639302</v>
      </c>
      <c r="E34" s="81">
        <f>SUM(B34:B65)</f>
        <v>2778750.86722617</v>
      </c>
      <c r="F34" s="48">
        <v>49</v>
      </c>
      <c r="G34" s="81">
        <f>VLOOKUP(F34,Tables_CIMA!$E$5:$H$65,2,FALSE())*POWER(1/(1+Paramètres!$B$8),F34)</f>
        <v>175286.819380149</v>
      </c>
      <c r="H34" s="81">
        <f>VLOOKUP(F34,Tables_CIMA!$E$5:$H$65,3,FALSE())*POWER(1/(1+Paramètres!$B$8),F34+0.5)</f>
        <v>632.459035990743</v>
      </c>
      <c r="I34" s="81">
        <f>SUM(H34:H65)</f>
        <v>69540.2865130747</v>
      </c>
      <c r="J34" s="81">
        <f>SUM(G34:G65)</f>
        <v>3162145.21487263</v>
      </c>
    </row>
    <row r="35" ht="14.25" customHeight="1" spans="1:10">
      <c r="A35" s="47">
        <v>50</v>
      </c>
      <c r="B35" s="80">
        <f>VLOOKUP(A35,Tables_CIMA!$A$5:$D$65,2,FALSE())*POWER(1/(1+Paramètres!$B$8),A35)</f>
        <v>160353.219145899</v>
      </c>
      <c r="C35" s="80">
        <f>VLOOKUP(A35,Tables_CIMA!$A$5:$D$65,3,FALSE())*POWER(1/(1+Paramètres!$B$8),A35+0.5)</f>
        <v>1125.51913866092</v>
      </c>
      <c r="D35" s="80">
        <f>SUM(C35:C65)</f>
        <v>73286.2352354073</v>
      </c>
      <c r="E35" s="80">
        <f>SUM(B35:B65)</f>
        <v>2611653.34936814</v>
      </c>
      <c r="F35" s="47">
        <v>50</v>
      </c>
      <c r="G35" s="80">
        <f>VLOOKUP(F35,Tables_CIMA!$E$5:$H$65,2,FALSE())*POWER(1/(1+Paramètres!$B$8),F35)</f>
        <v>168737.57246156</v>
      </c>
      <c r="H35" s="80">
        <f>VLOOKUP(F35,Tables_CIMA!$E$5:$H$65,3,FALSE())*POWER(1/(1+Paramètres!$B$8),F35+0.5)</f>
        <v>641.871508787551</v>
      </c>
      <c r="I35" s="80">
        <f>SUM(H35:H65)</f>
        <v>68907.827477084</v>
      </c>
      <c r="J35" s="80">
        <f>SUM(G35:G65)</f>
        <v>2986858.39549248</v>
      </c>
    </row>
    <row r="36" ht="14.25" customHeight="1" spans="1:10">
      <c r="A36" s="48">
        <v>51</v>
      </c>
      <c r="B36" s="81">
        <f>VLOOKUP(A36,Tables_CIMA!$A$5:$D$65,2,FALSE())*POWER(1/(1+Paramètres!$B$8),A36)</f>
        <v>153824.321561151</v>
      </c>
      <c r="C36" s="81">
        <f>VLOOKUP(A36,Tables_CIMA!$A$5:$D$65,3,FALSE())*POWER(1/(1+Paramètres!$B$8),A36+0.5)</f>
        <v>1140.002992311</v>
      </c>
      <c r="D36" s="81">
        <f>SUM(C36:C65)</f>
        <v>72160.7160967463</v>
      </c>
      <c r="E36" s="81">
        <f>SUM(B36:B65)</f>
        <v>2451300.13022224</v>
      </c>
      <c r="F36" s="48">
        <v>51</v>
      </c>
      <c r="G36" s="81">
        <f>VLOOKUP(F36,Tables_CIMA!$E$5:$H$65,2,FALSE())*POWER(1/(1+Paramètres!$B$8),F36)</f>
        <v>162400.545704981</v>
      </c>
      <c r="H36" s="81">
        <f>VLOOKUP(F36,Tables_CIMA!$E$5:$H$65,3,FALSE())*POWER(1/(1+Paramètres!$B$8),F36+0.5)</f>
        <v>652.47486299184</v>
      </c>
      <c r="I36" s="81">
        <f>SUM(H36:H65)</f>
        <v>68265.9559682964</v>
      </c>
      <c r="J36" s="81">
        <f>SUM(G36:G65)</f>
        <v>2818120.82303092</v>
      </c>
    </row>
    <row r="37" ht="14.25" customHeight="1" spans="1:10">
      <c r="A37" s="47">
        <v>52</v>
      </c>
      <c r="B37" s="80">
        <f>VLOOKUP(A37,Tables_CIMA!$A$5:$D$65,2,FALSE())*POWER(1/(1+Paramètres!$B$8),A37)</f>
        <v>147501.971101266</v>
      </c>
      <c r="C37" s="80">
        <f>VLOOKUP(A37,Tables_CIMA!$A$5:$D$65,3,FALSE())*POWER(1/(1+Paramètres!$B$8),A37+0.5)</f>
        <v>1154.52034216639</v>
      </c>
      <c r="D37" s="80">
        <f>SUM(C37:C65)</f>
        <v>71020.7131044353</v>
      </c>
      <c r="E37" s="80">
        <f>SUM(B37:B65)</f>
        <v>2297475.80866109</v>
      </c>
      <c r="F37" s="47">
        <v>52</v>
      </c>
      <c r="G37" s="80">
        <f>VLOOKUP(F37,Tables_CIMA!$E$5:$H$65,2,FALSE())*POWER(1/(1+Paramètres!$B$8),F37)</f>
        <v>156267.392010633</v>
      </c>
      <c r="H37" s="80">
        <f>VLOOKUP(F37,Tables_CIMA!$E$5:$H$65,3,FALSE())*POWER(1/(1+Paramètres!$B$8),F37+0.5)</f>
        <v>662.941451635317</v>
      </c>
      <c r="I37" s="80">
        <f>SUM(H37:H65)</f>
        <v>67613.4811053046</v>
      </c>
      <c r="J37" s="80">
        <f>SUM(G37:G65)</f>
        <v>2655720.27732594</v>
      </c>
    </row>
    <row r="38" ht="14.25" customHeight="1" spans="1:10">
      <c r="A38" s="48">
        <v>53</v>
      </c>
      <c r="B38" s="81">
        <f>VLOOKUP(A38,Tables_CIMA!$A$5:$D$65,2,FALSE())*POWER(1/(1+Paramètres!$B$8),A38)</f>
        <v>141379.15015589</v>
      </c>
      <c r="C38" s="81">
        <f>VLOOKUP(A38,Tables_CIMA!$A$5:$D$65,3,FALSE())*POWER(1/(1+Paramètres!$B$8),A38+0.5)</f>
        <v>1168.18086731062</v>
      </c>
      <c r="D38" s="81">
        <f>SUM(C38:C65)</f>
        <v>69866.192762269</v>
      </c>
      <c r="E38" s="81">
        <f>SUM(B38:B65)</f>
        <v>2149973.83755983</v>
      </c>
      <c r="F38" s="48">
        <v>53</v>
      </c>
      <c r="G38" s="81">
        <f>VLOOKUP(F38,Tables_CIMA!$E$5:$H$65,2,FALSE())*POWER(1/(1+Paramètres!$B$8),F38)</f>
        <v>150331.351553585</v>
      </c>
      <c r="H38" s="81">
        <f>VLOOKUP(F38,Tables_CIMA!$E$5:$H$65,3,FALSE())*POWER(1/(1+Paramètres!$B$8),F38+0.5)</f>
        <v>673.700176772153</v>
      </c>
      <c r="I38" s="81">
        <f>SUM(H38:H65)</f>
        <v>66950.5396536693</v>
      </c>
      <c r="J38" s="81">
        <f>SUM(G38:G65)</f>
        <v>2499452.88531531</v>
      </c>
    </row>
    <row r="39" ht="14.25" customHeight="1" spans="1:10">
      <c r="A39" s="47">
        <v>54</v>
      </c>
      <c r="B39" s="80">
        <f>VLOOKUP(A39,Tables_CIMA!$A$5:$D$65,2,FALSE())*POWER(1/(1+Paramètres!$B$8),A39)</f>
        <v>135449.953562878</v>
      </c>
      <c r="C39" s="80">
        <f>VLOOKUP(A39,Tables_CIMA!$A$5:$D$65,3,FALSE())*POWER(1/(1+Paramètres!$B$8),A39+0.5)</f>
        <v>1182.6647140584</v>
      </c>
      <c r="D39" s="80">
        <f>SUM(C39:C65)</f>
        <v>68698.0118949583</v>
      </c>
      <c r="E39" s="80">
        <f>SUM(B39:B65)</f>
        <v>2008594.68740394</v>
      </c>
      <c r="F39" s="47">
        <v>54</v>
      </c>
      <c r="G39" s="80">
        <f>VLOOKUP(F39,Tables_CIMA!$E$5:$H$65,2,FALSE())*POWER(1/(1+Paramètres!$B$8),F39)</f>
        <v>144585.471514301</v>
      </c>
      <c r="H39" s="80">
        <f>VLOOKUP(F39,Tables_CIMA!$E$5:$H$65,3,FALSE())*POWER(1/(1+Paramètres!$B$8),F39+0.5)</f>
        <v>684.813636139378</v>
      </c>
      <c r="I39" s="80">
        <f>SUM(H39:H65)</f>
        <v>66276.8394768971</v>
      </c>
      <c r="J39" s="80">
        <f>SUM(G39:G65)</f>
        <v>2349121.53376172</v>
      </c>
    </row>
    <row r="40" ht="14.25" customHeight="1" spans="1:10">
      <c r="A40" s="48">
        <v>55</v>
      </c>
      <c r="B40" s="81">
        <f>VLOOKUP(A40,Tables_CIMA!$A$5:$D$65,2,FALSE())*POWER(1/(1+Paramètres!$B$8),A40)</f>
        <v>129707.024357832</v>
      </c>
      <c r="C40" s="81">
        <f>VLOOKUP(A40,Tables_CIMA!$A$5:$D$65,3,FALSE())*POWER(1/(1+Paramètres!$B$8),A40+0.5)</f>
        <v>1195.27766451904</v>
      </c>
      <c r="D40" s="81">
        <f>SUM(C40:C65)</f>
        <v>67515.3471808999</v>
      </c>
      <c r="E40" s="81">
        <f>SUM(B40:B65)</f>
        <v>1873144.73384106</v>
      </c>
      <c r="F40" s="48">
        <v>55</v>
      </c>
      <c r="G40" s="81">
        <f>VLOOKUP(F40,Tables_CIMA!$E$5:$H$65,2,FALSE())*POWER(1/(1+Paramètres!$B$8),F40)</f>
        <v>139022.972662526</v>
      </c>
      <c r="H40" s="81">
        <f>VLOOKUP(F40,Tables_CIMA!$E$5:$H$65,3,FALSE())*POWER(1/(1+Paramètres!$B$8),F40+0.5)</f>
        <v>695.145986146642</v>
      </c>
      <c r="I40" s="81">
        <f>SUM(H40:H65)</f>
        <v>65592.0258407578</v>
      </c>
      <c r="J40" s="81">
        <f>SUM(G40:G65)</f>
        <v>2204536.06224742</v>
      </c>
    </row>
    <row r="41" ht="14.25" customHeight="1" spans="1:10">
      <c r="A41" s="47">
        <v>56</v>
      </c>
      <c r="B41" s="80">
        <f>VLOOKUP(A41,Tables_CIMA!$A$5:$D$65,2,FALSE())*POWER(1/(1+Paramètres!$B$8),A41)</f>
        <v>124145.902634298</v>
      </c>
      <c r="C41" s="80">
        <f>VLOOKUP(A41,Tables_CIMA!$A$5:$D$65,3,FALSE())*POWER(1/(1+Paramètres!$B$8),A41+0.5)</f>
        <v>1206.25783225262</v>
      </c>
      <c r="D41" s="80">
        <f>SUM(C41:C65)</f>
        <v>66320.0695163809</v>
      </c>
      <c r="E41" s="80">
        <f>SUM(B41:B65)</f>
        <v>1743437.70948323</v>
      </c>
      <c r="F41" s="47">
        <v>56</v>
      </c>
      <c r="G41" s="80">
        <f>VLOOKUP(F41,Tables_CIMA!$E$5:$H$65,2,FALSE())*POWER(1/(1+Paramètres!$B$8),F41)</f>
        <v>133638.421490679</v>
      </c>
      <c r="H41" s="80">
        <f>VLOOKUP(F41,Tables_CIMA!$E$5:$H$65,3,FALSE())*POWER(1/(1+Paramètres!$B$8),F41+0.5)</f>
        <v>703.996410823282</v>
      </c>
      <c r="I41" s="80">
        <f>SUM(H41:H65)</f>
        <v>64896.8798546111</v>
      </c>
      <c r="J41" s="80">
        <f>SUM(G41:G65)</f>
        <v>2065513.0895849</v>
      </c>
    </row>
    <row r="42" ht="14.25" customHeight="1" spans="1:10">
      <c r="A42" s="48">
        <v>57</v>
      </c>
      <c r="B42" s="81">
        <f>VLOOKUP(A42,Tables_CIMA!$A$5:$D$65,2,FALSE())*POWER(1/(1+Paramètres!$B$8),A42)</f>
        <v>118762.045251051</v>
      </c>
      <c r="C42" s="81">
        <f>VLOOKUP(A42,Tables_CIMA!$A$5:$D$65,3,FALSE())*POWER(1/(1+Paramètres!$B$8),A42+0.5)</f>
        <v>1236.84700505119</v>
      </c>
      <c r="D42" s="81">
        <f>SUM(C42:C65)</f>
        <v>65113.8116841283</v>
      </c>
      <c r="E42" s="81">
        <f>SUM(B42:B65)</f>
        <v>1619291.80684893</v>
      </c>
      <c r="F42" s="48">
        <v>57</v>
      </c>
      <c r="G42" s="81">
        <f>VLOOKUP(F42,Tables_CIMA!$E$5:$H$65,2,FALSE())*POWER(1/(1+Paramètres!$B$8),F42)</f>
        <v>128427.257097495</v>
      </c>
      <c r="H42" s="81">
        <f>VLOOKUP(F42,Tables_CIMA!$E$5:$H$65,3,FALSE())*POWER(1/(1+Paramètres!$B$8),F42+0.5)</f>
        <v>722.381731392159</v>
      </c>
      <c r="I42" s="81">
        <f>SUM(H42:H65)</f>
        <v>64192.8834437878</v>
      </c>
      <c r="J42" s="81">
        <f>SUM(G42:G65)</f>
        <v>1931874.66809422</v>
      </c>
    </row>
    <row r="43" ht="14.25" customHeight="1" spans="1:10">
      <c r="A43" s="47">
        <v>58</v>
      </c>
      <c r="B43" s="80">
        <f>VLOOKUP(A43,Tables_CIMA!$A$5:$D$65,2,FALSE())*POWER(1/(1+Paramètres!$B$8),A43)</f>
        <v>113530.183161368</v>
      </c>
      <c r="C43" s="80">
        <f>VLOOKUP(A43,Tables_CIMA!$A$5:$D$65,3,FALSE())*POWER(1/(1+Paramètres!$B$8),A43+0.5)</f>
        <v>1273.87849656853</v>
      </c>
      <c r="D43" s="80">
        <f>SUM(C43:C65)</f>
        <v>63876.9646790771</v>
      </c>
      <c r="E43" s="80">
        <f>SUM(B43:B65)</f>
        <v>1500529.76159788</v>
      </c>
      <c r="F43" s="47">
        <v>58</v>
      </c>
      <c r="G43" s="80">
        <f>VLOOKUP(F43,Tables_CIMA!$E$5:$H$65,2,FALSE())*POWER(1/(1+Paramètres!$B$8),F43)</f>
        <v>123374.243870612</v>
      </c>
      <c r="H43" s="80">
        <f>VLOOKUP(F43,Tables_CIMA!$E$5:$H$65,3,FALSE())*POWER(1/(1+Paramètres!$B$8),F43+0.5)</f>
        <v>744.33211073236</v>
      </c>
      <c r="I43" s="80">
        <f>SUM(H43:H65)</f>
        <v>63470.5017123957</v>
      </c>
      <c r="J43" s="80">
        <f>SUM(G43:G65)</f>
        <v>1803447.41099672</v>
      </c>
    </row>
    <row r="44" ht="14.25" customHeight="1" spans="1:10">
      <c r="A44" s="48">
        <v>59</v>
      </c>
      <c r="B44" s="81">
        <f>VLOOKUP(A44,Tables_CIMA!$A$5:$D$65,2,FALSE())*POWER(1/(1+Paramètres!$B$8),A44)</f>
        <v>108438.84397396</v>
      </c>
      <c r="C44" s="81">
        <f>VLOOKUP(A44,Tables_CIMA!$A$5:$D$65,3,FALSE())*POWER(1/(1+Paramètres!$B$8),A44+0.5)</f>
        <v>1327.78203053829</v>
      </c>
      <c r="D44" s="81">
        <f>SUM(C44:C65)</f>
        <v>62603.0861825086</v>
      </c>
      <c r="E44" s="81">
        <f>SUM(B44:B65)</f>
        <v>1386999.57843651</v>
      </c>
      <c r="F44" s="48">
        <v>59</v>
      </c>
      <c r="G44" s="81">
        <f>VLOOKUP(F44,Tables_CIMA!$E$5:$H$65,2,FALSE())*POWER(1/(1+Paramètres!$B$8),F44)</f>
        <v>118470.52944136</v>
      </c>
      <c r="H44" s="81">
        <f>VLOOKUP(F44,Tables_CIMA!$E$5:$H$65,3,FALSE())*POWER(1/(1+Paramètres!$B$8),F44+0.5)</f>
        <v>775.206723334115</v>
      </c>
      <c r="I44" s="81">
        <f>SUM(H44:H65)</f>
        <v>62726.1696016633</v>
      </c>
      <c r="J44" s="81">
        <f>SUM(G44:G65)</f>
        <v>1680073.16712611</v>
      </c>
    </row>
    <row r="45" ht="14.25" customHeight="1" spans="1:10">
      <c r="A45" s="47">
        <v>60</v>
      </c>
      <c r="B45" s="80">
        <f>VLOOKUP(A45,Tables_CIMA!$A$5:$D$65,2,FALSE())*POWER(1/(1+Paramètres!$B$8),A45)</f>
        <v>103466.691393665</v>
      </c>
      <c r="C45" s="80">
        <f>VLOOKUP(A45,Tables_CIMA!$A$5:$D$65,3,FALSE())*POWER(1/(1+Paramètres!$B$8),A45+0.5)</f>
        <v>1373.08962109798</v>
      </c>
      <c r="D45" s="80">
        <f>SUM(C45:C65)</f>
        <v>61275.3041519703</v>
      </c>
      <c r="E45" s="80">
        <f>SUM(B45:B65)</f>
        <v>1278560.73446255</v>
      </c>
      <c r="F45" s="47">
        <v>60</v>
      </c>
      <c r="G45" s="80">
        <f>VLOOKUP(F45,Tables_CIMA!$E$5:$H$65,2,FALSE())*POWER(1/(1+Paramètres!$B$8),F45)</f>
        <v>113702.293015403</v>
      </c>
      <c r="H45" s="80">
        <f>VLOOKUP(F45,Tables_CIMA!$E$5:$H$65,3,FALSE())*POWER(1/(1+Paramètres!$B$8),F45+0.5)</f>
        <v>800.771393748915</v>
      </c>
      <c r="I45" s="80">
        <f>SUM(H45:H65)</f>
        <v>61950.9628783292</v>
      </c>
      <c r="J45" s="80">
        <f>SUM(G45:G65)</f>
        <v>1561602.63768475</v>
      </c>
    </row>
    <row r="46" ht="14.25" customHeight="1" spans="1:10">
      <c r="A46" s="48">
        <v>61</v>
      </c>
      <c r="B46" s="81">
        <f>VLOOKUP(A46,Tables_CIMA!$A$5:$D$65,2,FALSE())*POWER(1/(1+Paramètres!$B$8),A46)</f>
        <v>98618.1443069193</v>
      </c>
      <c r="C46" s="81">
        <f>VLOOKUP(A46,Tables_CIMA!$A$5:$D$65,3,FALSE())*POWER(1/(1+Paramètres!$B$8),A46+0.5)</f>
        <v>1417.06940376304</v>
      </c>
      <c r="D46" s="81">
        <f>SUM(C46:C65)</f>
        <v>59902.2145308723</v>
      </c>
      <c r="E46" s="81">
        <f>SUM(B46:B65)</f>
        <v>1175094.04306888</v>
      </c>
      <c r="F46" s="48">
        <v>61</v>
      </c>
      <c r="G46" s="81">
        <f>VLOOKUP(F46,Tables_CIMA!$E$5:$H$65,2,FALSE())*POWER(1/(1+Paramètres!$B$8),F46)</f>
        <v>109070.172599406</v>
      </c>
      <c r="H46" s="81">
        <f>VLOOKUP(F46,Tables_CIMA!$E$5:$H$65,3,FALSE())*POWER(1/(1+Paramètres!$B$8),F46+0.5)</f>
        <v>824.082215578405</v>
      </c>
      <c r="I46" s="81">
        <f>SUM(H46:H65)</f>
        <v>61150.1914845803</v>
      </c>
      <c r="J46" s="81">
        <f>SUM(G46:G65)</f>
        <v>1447900.34466935</v>
      </c>
    </row>
    <row r="47" ht="14.25" customHeight="1" spans="1:10">
      <c r="A47" s="47">
        <v>62</v>
      </c>
      <c r="B47" s="80">
        <f>VLOOKUP(A47,Tables_CIMA!$A$5:$D$65,2,FALSE())*POWER(1/(1+Paramètres!$B$8),A47)</f>
        <v>93890.3279817609</v>
      </c>
      <c r="C47" s="80">
        <f>VLOOKUP(A47,Tables_CIMA!$A$5:$D$65,3,FALSE())*POWER(1/(1+Paramètres!$B$8),A47+0.5)</f>
        <v>1472.11199626522</v>
      </c>
      <c r="D47" s="80">
        <f>SUM(C47:C65)</f>
        <v>58485.1451271093</v>
      </c>
      <c r="E47" s="80">
        <f>SUM(B47:B65)</f>
        <v>1076475.89876197</v>
      </c>
      <c r="F47" s="47">
        <v>62</v>
      </c>
      <c r="G47" s="80">
        <f>VLOOKUP(F47,Tables_CIMA!$E$5:$H$65,2,FALSE())*POWER(1/(1+Paramètres!$B$8),F47)</f>
        <v>104571.780648806</v>
      </c>
      <c r="H47" s="80">
        <f>VLOOKUP(F47,Tables_CIMA!$E$5:$H$65,3,FALSE())*POWER(1/(1+Paramètres!$B$8),F47+0.5)</f>
        <v>853.752744095582</v>
      </c>
      <c r="I47" s="80">
        <f>SUM(H47:H65)</f>
        <v>60326.1092690019</v>
      </c>
      <c r="J47" s="80">
        <f>SUM(G47:G65)</f>
        <v>1338830.17206994</v>
      </c>
    </row>
    <row r="48" ht="14.25" customHeight="1" spans="1:10">
      <c r="A48" s="48">
        <v>63</v>
      </c>
      <c r="B48" s="81">
        <f>VLOOKUP(A48,Tables_CIMA!$A$5:$D$65,2,FALSE())*POWER(1/(1+Paramètres!$B$8),A48)</f>
        <v>89268.2855866113</v>
      </c>
      <c r="C48" s="81">
        <f>VLOOKUP(A48,Tables_CIMA!$A$5:$D$65,3,FALSE())*POWER(1/(1+Paramètres!$B$8),A48+0.5)</f>
        <v>1538.57913244819</v>
      </c>
      <c r="D48" s="81">
        <f>SUM(C48:C65)</f>
        <v>57013.033130844</v>
      </c>
      <c r="E48" s="81">
        <f>SUM(B48:B65)</f>
        <v>982585.570780204</v>
      </c>
      <c r="F48" s="48">
        <v>63</v>
      </c>
      <c r="G48" s="81">
        <f>VLOOKUP(F48,Tables_CIMA!$E$5:$H$65,2,FALSE())*POWER(1/(1+Paramètres!$B$8),F48)</f>
        <v>100196.343694336</v>
      </c>
      <c r="H48" s="81">
        <f>VLOOKUP(F48,Tables_CIMA!$E$5:$H$65,3,FALSE())*POWER(1/(1+Paramètres!$B$8),F48+0.5)</f>
        <v>886.77615299091</v>
      </c>
      <c r="I48" s="81">
        <f>SUM(H48:H65)</f>
        <v>59472.3565249063</v>
      </c>
      <c r="J48" s="81">
        <f>SUM(G48:G65)</f>
        <v>1234258.39142114</v>
      </c>
    </row>
    <row r="49" ht="14.25" customHeight="1" spans="1:10">
      <c r="A49" s="47">
        <v>64</v>
      </c>
      <c r="B49" s="80">
        <f>VLOOKUP(A49,Tables_CIMA!$A$5:$D$65,2,FALSE())*POWER(1/(1+Paramètres!$B$8),A49)</f>
        <v>84737.2105114968</v>
      </c>
      <c r="C49" s="80">
        <f>VLOOKUP(A49,Tables_CIMA!$A$5:$D$65,3,FALSE())*POWER(1/(1+Paramètres!$B$8),A49+0.5)</f>
        <v>1615.93800556057</v>
      </c>
      <c r="D49" s="80">
        <f>SUM(C49:C65)</f>
        <v>55474.4539983958</v>
      </c>
      <c r="E49" s="80">
        <f>SUM(B49:B65)</f>
        <v>893317.285193593</v>
      </c>
      <c r="F49" s="47">
        <v>64</v>
      </c>
      <c r="G49" s="80">
        <f>VLOOKUP(F49,Tables_CIMA!$E$5:$H$65,2,FALSE())*POWER(1/(1+Paramètres!$B$8),F49)</f>
        <v>95936.4081359647</v>
      </c>
      <c r="H49" s="80">
        <f>VLOOKUP(F49,Tables_CIMA!$E$5:$H$65,3,FALSE())*POWER(1/(1+Paramètres!$B$8),F49+0.5)</f>
        <v>921.373883671126</v>
      </c>
      <c r="I49" s="80">
        <f>SUM(H49:H65)</f>
        <v>58585.5803719154</v>
      </c>
      <c r="J49" s="80">
        <f>SUM(G49:G65)</f>
        <v>1134062.0477268</v>
      </c>
    </row>
    <row r="50" ht="14.25" customHeight="1" spans="1:10">
      <c r="A50" s="48">
        <v>65</v>
      </c>
      <c r="B50" s="81">
        <f>VLOOKUP(A50,Tables_CIMA!$A$5:$D$65,2,FALSE())*POWER(1/(1+Paramètres!$B$8),A50)</f>
        <v>80283.3205735257</v>
      </c>
      <c r="C50" s="81">
        <f>VLOOKUP(A50,Tables_CIMA!$A$5:$D$65,3,FALSE())*POWER(1/(1+Paramètres!$B$8),A50+0.5)</f>
        <v>1697.54607001829</v>
      </c>
      <c r="D50" s="81">
        <f>SUM(C50:C65)</f>
        <v>53858.5159928353</v>
      </c>
      <c r="E50" s="81">
        <f>SUM(B50:B65)</f>
        <v>808580.074682096</v>
      </c>
      <c r="F50" s="48">
        <v>65</v>
      </c>
      <c r="G50" s="81">
        <f>VLOOKUP(F50,Tables_CIMA!$E$5:$H$65,2,FALSE())*POWER(1/(1+Paramètres!$B$8),F50)</f>
        <v>91786.5206554889</v>
      </c>
      <c r="H50" s="81">
        <f>VLOOKUP(F50,Tables_CIMA!$E$5:$H$65,3,FALSE())*POWER(1/(1+Paramètres!$B$8),F50+0.5)</f>
        <v>953.247913815581</v>
      </c>
      <c r="I50" s="81">
        <f>SUM(H50:H65)</f>
        <v>57664.2064882443</v>
      </c>
      <c r="J50" s="81">
        <f>SUM(G50:G65)</f>
        <v>1038125.63959084</v>
      </c>
    </row>
    <row r="51" ht="14.25" customHeight="1" spans="1:10">
      <c r="A51" s="47">
        <v>66</v>
      </c>
      <c r="B51" s="80">
        <f>VLOOKUP(A51,Tables_CIMA!$A$5:$D$65,2,FALSE())*POWER(1/(1+Paramètres!$B$8),A51)</f>
        <v>75899.8289200603</v>
      </c>
      <c r="C51" s="80">
        <f>VLOOKUP(A51,Tables_CIMA!$A$5:$D$65,3,FALSE())*POWER(1/(1+Paramètres!$B$8),A51+0.5)</f>
        <v>1776.35434891073</v>
      </c>
      <c r="D51" s="80">
        <f>SUM(C51:C65)</f>
        <v>52160.969922817</v>
      </c>
      <c r="E51" s="80">
        <f>SUM(B51:B65)</f>
        <v>728296.75410857</v>
      </c>
      <c r="F51" s="47">
        <v>66</v>
      </c>
      <c r="G51" s="80">
        <f>VLOOKUP(F51,Tables_CIMA!$E$5:$H$65,2,FALSE())*POWER(1/(1+Paramètres!$B$8),F51)</f>
        <v>87745.6370718893</v>
      </c>
      <c r="H51" s="80">
        <f>VLOOKUP(F51,Tables_CIMA!$E$5:$H$65,3,FALSE())*POWER(1/(1+Paramètres!$B$8),F51+0.5)</f>
        <v>984.653079183073</v>
      </c>
      <c r="I51" s="80">
        <f>SUM(H51:H65)</f>
        <v>56710.9585744287</v>
      </c>
      <c r="J51" s="80">
        <f>SUM(G51:G65)</f>
        <v>946339.118935346</v>
      </c>
    </row>
    <row r="52" ht="14.25" customHeight="1" spans="1:10">
      <c r="A52" s="48">
        <v>67</v>
      </c>
      <c r="B52" s="81">
        <f>VLOOKUP(A52,Tables_CIMA!$A$5:$D$65,2,FALSE())*POWER(1/(1+Paramètres!$B$8),A52)</f>
        <v>71587.1069718546</v>
      </c>
      <c r="C52" s="81">
        <f>VLOOKUP(A52,Tables_CIMA!$A$5:$D$65,3,FALSE())*POWER(1/(1+Paramètres!$B$8),A52+0.5)</f>
        <v>1849.06818292022</v>
      </c>
      <c r="D52" s="81">
        <f>SUM(C52:C65)</f>
        <v>50384.6155739063</v>
      </c>
      <c r="E52" s="81">
        <f>SUM(B52:B65)</f>
        <v>652396.92518851</v>
      </c>
      <c r="F52" s="48">
        <v>67</v>
      </c>
      <c r="G52" s="81">
        <f>VLOOKUP(F52,Tables_CIMA!$E$5:$H$65,2,FALSE())*POWER(1/(1+Paramètres!$B$8),F52)</f>
        <v>83810.532131982</v>
      </c>
      <c r="H52" s="81">
        <f>VLOOKUP(F52,Tables_CIMA!$E$5:$H$65,3,FALSE())*POWER(1/(1+Paramètres!$B$8),F52+0.5)</f>
        <v>1016.47264470793</v>
      </c>
      <c r="I52" s="81">
        <f>SUM(H52:H65)</f>
        <v>55726.3054952456</v>
      </c>
      <c r="J52" s="81">
        <f>SUM(G52:G65)</f>
        <v>858593.481863457</v>
      </c>
    </row>
    <row r="53" ht="14.25" customHeight="1" spans="1:10">
      <c r="A53" s="47">
        <v>68</v>
      </c>
      <c r="B53" s="80">
        <f>VLOOKUP(A53,Tables_CIMA!$A$5:$D$65,2,FALSE())*POWER(1/(1+Paramètres!$B$8),A53)</f>
        <v>67348.7520629712</v>
      </c>
      <c r="C53" s="80">
        <f>VLOOKUP(A53,Tables_CIMA!$A$5:$D$65,3,FALSE())*POWER(1/(1+Paramètres!$B$8),A53+0.5)</f>
        <v>1908.48447228872</v>
      </c>
      <c r="D53" s="80">
        <f>SUM(C53:C65)</f>
        <v>48535.547390986</v>
      </c>
      <c r="E53" s="80">
        <f>SUM(B53:B65)</f>
        <v>580809.818216656</v>
      </c>
      <c r="F53" s="47">
        <v>68</v>
      </c>
      <c r="G53" s="80">
        <f>VLOOKUP(F53,Tables_CIMA!$E$5:$H$65,2,FALSE())*POWER(1/(1+Paramètres!$B$8),F53)</f>
        <v>79977.2214470508</v>
      </c>
      <c r="H53" s="80">
        <f>VLOOKUP(F53,Tables_CIMA!$E$5:$H$65,3,FALSE())*POWER(1/(1+Paramètres!$B$8),F53+0.5)</f>
        <v>1050.03599056219</v>
      </c>
      <c r="I53" s="80">
        <f>SUM(H53:H65)</f>
        <v>54709.8328505377</v>
      </c>
      <c r="J53" s="80">
        <f>SUM(G53:G65)</f>
        <v>774782.949731475</v>
      </c>
    </row>
    <row r="54" ht="14.25" customHeight="1" spans="1:10">
      <c r="A54" s="48">
        <v>69</v>
      </c>
      <c r="B54" s="81">
        <f>VLOOKUP(A54,Tables_CIMA!$A$5:$D$65,2,FALSE())*POWER(1/(1+Paramètres!$B$8),A54)</f>
        <v>63195.3201392863</v>
      </c>
      <c r="C54" s="81">
        <f>VLOOKUP(A54,Tables_CIMA!$A$5:$D$65,3,FALSE())*POWER(1/(1+Paramètres!$B$8),A54+0.5)</f>
        <v>1958.1058723538</v>
      </c>
      <c r="D54" s="81">
        <f>SUM(C54:C65)</f>
        <v>46627.0629186973</v>
      </c>
      <c r="E54" s="81">
        <f>SUM(B54:B65)</f>
        <v>513461.066153684</v>
      </c>
      <c r="F54" s="48">
        <v>69</v>
      </c>
      <c r="G54" s="81">
        <f>VLOOKUP(F54,Tables_CIMA!$E$5:$H$65,2,FALSE())*POWER(1/(1+Paramètres!$B$8),F54)</f>
        <v>76240.5486567422</v>
      </c>
      <c r="H54" s="81">
        <f>VLOOKUP(F54,Tables_CIMA!$E$5:$H$65,3,FALSE())*POWER(1/(1+Paramètres!$B$8),F54+0.5)</f>
        <v>1083.09647836822</v>
      </c>
      <c r="I54" s="81">
        <f>SUM(H54:H65)</f>
        <v>53659.7968599755</v>
      </c>
      <c r="J54" s="81">
        <f>SUM(G54:G65)</f>
        <v>694805.728284424</v>
      </c>
    </row>
    <row r="55" ht="14.25" customHeight="1" spans="1:10">
      <c r="A55" s="47">
        <v>70</v>
      </c>
      <c r="B55" s="80">
        <f>VLOOKUP(A55,Tables_CIMA!$A$5:$D$65,2,FALSE())*POWER(1/(1+Paramètres!$B$8),A55)</f>
        <v>59133.5672599579</v>
      </c>
      <c r="C55" s="80">
        <f>VLOOKUP(A55,Tables_CIMA!$A$5:$D$65,3,FALSE())*POWER(1/(1+Paramètres!$B$8),A55+0.5)</f>
        <v>1996.26253474699</v>
      </c>
      <c r="D55" s="80">
        <f>SUM(C55:C65)</f>
        <v>44668.9570463435</v>
      </c>
      <c r="E55" s="80">
        <f>SUM(B55:B65)</f>
        <v>450265.746014398</v>
      </c>
      <c r="F55" s="47">
        <v>70</v>
      </c>
      <c r="G55" s="80">
        <f>VLOOKUP(F55,Tables_CIMA!$E$5:$H$65,2,FALSE())*POWER(1/(1+Paramètres!$B$8),F55)</f>
        <v>72597.7400954243</v>
      </c>
      <c r="H55" s="80">
        <f>VLOOKUP(F55,Tables_CIMA!$E$5:$H$65,3,FALSE())*POWER(1/(1+Paramètres!$B$8),F55+0.5)</f>
        <v>1115.72757380914</v>
      </c>
      <c r="I55" s="80">
        <f>SUM(H55:H65)</f>
        <v>52576.7003816073</v>
      </c>
      <c r="J55" s="80">
        <f>SUM(G55:G65)</f>
        <v>618565.179627682</v>
      </c>
    </row>
    <row r="56" ht="14.25" customHeight="1" spans="1:10">
      <c r="A56" s="48">
        <v>71</v>
      </c>
      <c r="B56" s="81">
        <f>VLOOKUP(A56,Tables_CIMA!$A$5:$D$65,2,FALSE())*POWER(1/(1+Paramètres!$B$8),A56)</f>
        <v>55171.6623897752</v>
      </c>
      <c r="C56" s="81">
        <f>VLOOKUP(A56,Tables_CIMA!$A$5:$D$65,3,FALSE())*POWER(1/(1+Paramètres!$B$8),A56+0.5)</f>
        <v>2028.83021642458</v>
      </c>
      <c r="D56" s="81">
        <f>SUM(C56:C65)</f>
        <v>42672.6945115965</v>
      </c>
      <c r="E56" s="81">
        <f>SUM(B56:B65)</f>
        <v>391132.17875444</v>
      </c>
      <c r="F56" s="48">
        <v>71</v>
      </c>
      <c r="G56" s="81">
        <f>VLOOKUP(F56,Tables_CIMA!$E$5:$H$65,2,FALSE())*POWER(1/(1+Paramètres!$B$8),F56)</f>
        <v>69046.0436800942</v>
      </c>
      <c r="H56" s="81">
        <f>VLOOKUP(F56,Tables_CIMA!$E$5:$H$65,3,FALSE())*POWER(1/(1+Paramètres!$B$8),F56+0.5)</f>
        <v>1143.63125342013</v>
      </c>
      <c r="I56" s="81">
        <f>SUM(H56:H65)</f>
        <v>51460.9728077981</v>
      </c>
      <c r="J56" s="81">
        <f>SUM(G56:G65)</f>
        <v>545967.439532258</v>
      </c>
    </row>
    <row r="57" ht="14.25" customHeight="1" spans="1:10">
      <c r="A57" s="47">
        <v>72</v>
      </c>
      <c r="B57" s="80">
        <f>VLOOKUP(A57,Tables_CIMA!$A$5:$D$65,2,FALSE())*POWER(1/(1+Paramètres!$B$8),A57)</f>
        <v>51311.7226943441</v>
      </c>
      <c r="C57" s="80">
        <f>VLOOKUP(A57,Tables_CIMA!$A$5:$D$65,3,FALSE())*POWER(1/(1+Paramètres!$B$8),A57+0.5)</f>
        <v>2060.87580722486</v>
      </c>
      <c r="D57" s="80">
        <f>SUM(C57:C65)</f>
        <v>40643.8642951719</v>
      </c>
      <c r="E57" s="80">
        <f>SUM(B57:B65)</f>
        <v>335960.516364665</v>
      </c>
      <c r="F57" s="47">
        <v>72</v>
      </c>
      <c r="G57" s="80">
        <f>VLOOKUP(F57,Tables_CIMA!$E$5:$H$65,2,FALSE())*POWER(1/(1+Paramètres!$B$8),F57)</f>
        <v>65587.0251199397</v>
      </c>
      <c r="H57" s="80">
        <f>VLOOKUP(F57,Tables_CIMA!$E$5:$H$65,3,FALSE())*POWER(1/(1+Paramètres!$B$8),F57+0.5)</f>
        <v>1167.95898446234</v>
      </c>
      <c r="I57" s="80">
        <f>SUM(H57:H65)</f>
        <v>50317.341554378</v>
      </c>
      <c r="J57" s="80">
        <f>SUM(G57:G65)</f>
        <v>476921.395852164</v>
      </c>
    </row>
    <row r="58" ht="14.25" customHeight="1" spans="1:10">
      <c r="A58" s="48">
        <v>73</v>
      </c>
      <c r="B58" s="81">
        <f>VLOOKUP(A58,Tables_CIMA!$A$5:$D$65,2,FALSE())*POWER(1/(1+Paramètres!$B$8),A58)</f>
        <v>47550.8132633027</v>
      </c>
      <c r="C58" s="81">
        <f>VLOOKUP(A58,Tables_CIMA!$A$5:$D$65,3,FALSE())*POWER(1/(1+Paramètres!$B$8),A58+0.5)</f>
        <v>2088.19465872284</v>
      </c>
      <c r="D58" s="81">
        <f>SUM(C58:C65)</f>
        <v>38582.9884879471</v>
      </c>
      <c r="E58" s="81">
        <f>SUM(B58:B65)</f>
        <v>284648.793670321</v>
      </c>
      <c r="F58" s="48">
        <v>73</v>
      </c>
      <c r="G58" s="81">
        <f>VLOOKUP(F58,Tables_CIMA!$E$5:$H$65,2,FALSE())*POWER(1/(1+Paramètres!$B$8),F58)</f>
        <v>62221.0653468916</v>
      </c>
      <c r="H58" s="81">
        <f>VLOOKUP(F58,Tables_CIMA!$E$5:$H$65,3,FALSE())*POWER(1/(1+Paramètres!$B$8),F58+0.5)</f>
        <v>1188.77511402594</v>
      </c>
      <c r="I58" s="81">
        <f>SUM(H58:H65)</f>
        <v>49149.3825699157</v>
      </c>
      <c r="J58" s="81">
        <f>SUM(G58:G65)</f>
        <v>411334.370732224</v>
      </c>
    </row>
    <row r="59" ht="14.25" customHeight="1" spans="1:10">
      <c r="A59" s="47">
        <v>74</v>
      </c>
      <c r="B59" s="80">
        <f>VLOOKUP(A59,Tables_CIMA!$A$5:$D$65,2,FALSE())*POWER(1/(1+Paramètres!$B$8),A59)</f>
        <v>43890.2313783903</v>
      </c>
      <c r="C59" s="80">
        <f>VLOOKUP(A59,Tables_CIMA!$A$5:$D$65,3,FALSE())*POWER(1/(1+Paramètres!$B$8),A59+0.5)</f>
        <v>2107.53220321415</v>
      </c>
      <c r="D59" s="80">
        <f>SUM(C59:C65)</f>
        <v>36494.7938292242</v>
      </c>
      <c r="E59" s="80">
        <f>SUM(B59:B65)</f>
        <v>237097.980407018</v>
      </c>
      <c r="F59" s="47">
        <v>74</v>
      </c>
      <c r="G59" s="80">
        <f>VLOOKUP(F59,Tables_CIMA!$E$5:$H$65,2,FALSE())*POWER(1/(1+Paramètres!$B$8),F59)</f>
        <v>58948.4691613854</v>
      </c>
      <c r="H59" s="80">
        <f>VLOOKUP(F59,Tables_CIMA!$E$5:$H$65,3,FALSE())*POWER(1/(1+Paramètres!$B$8),F59+0.5)</f>
        <v>1206.84776920942</v>
      </c>
      <c r="I59" s="80">
        <f>SUM(H59:H65)</f>
        <v>47960.6074558897</v>
      </c>
      <c r="J59" s="80">
        <f>SUM(G59:G65)</f>
        <v>349113.305385332</v>
      </c>
    </row>
    <row r="60" ht="14.25" customHeight="1" spans="1:10">
      <c r="A60" s="48">
        <v>75</v>
      </c>
      <c r="B60" s="81">
        <f>VLOOKUP(A60,Tables_CIMA!$A$5:$D$65,2,FALSE())*POWER(1/(1+Paramètres!$B$8),A60)</f>
        <v>40334.4295174407</v>
      </c>
      <c r="C60" s="81">
        <f>VLOOKUP(A60,Tables_CIMA!$A$5:$D$65,3,FALSE())*POWER(1/(1+Paramètres!$B$8),A60+0.5)</f>
        <v>2110.14102088768</v>
      </c>
      <c r="D60" s="81">
        <f>SUM(C60:C65)</f>
        <v>34387.2616260101</v>
      </c>
      <c r="E60" s="81">
        <f>SUM(B60:B65)</f>
        <v>193207.749028628</v>
      </c>
      <c r="F60" s="48">
        <v>75</v>
      </c>
      <c r="G60" s="81">
        <f>VLOOKUP(F60,Tables_CIMA!$E$5:$H$65,2,FALSE())*POWER(1/(1+Paramètres!$B$8),F60)</f>
        <v>55768.7760288492</v>
      </c>
      <c r="H60" s="81">
        <f>VLOOKUP(F60,Tables_CIMA!$E$5:$H$65,3,FALSE())*POWER(1/(1+Paramètres!$B$8),F60+0.5)</f>
        <v>1219.65763743479</v>
      </c>
      <c r="I60" s="81">
        <f>SUM(H60:H65)</f>
        <v>46753.7596866803</v>
      </c>
      <c r="J60" s="81">
        <f>SUM(G60:G65)</f>
        <v>290164.836223947</v>
      </c>
    </row>
    <row r="61" ht="14.25" customHeight="1" spans="1:10">
      <c r="A61" s="47">
        <v>76</v>
      </c>
      <c r="B61" s="80">
        <f>VLOOKUP(A61,Tables_CIMA!$A$5:$D$65,2,FALSE())*POWER(1/(1+Paramètres!$B$8),A61)</f>
        <v>36896.3078359926</v>
      </c>
      <c r="C61" s="80">
        <f>VLOOKUP(A61,Tables_CIMA!$A$5:$D$65,3,FALSE())*POWER(1/(1+Paramètres!$B$8),A61+0.5)</f>
        <v>2094.69292143036</v>
      </c>
      <c r="D61" s="80">
        <f>SUM(C61:C65)</f>
        <v>32277.1206051224</v>
      </c>
      <c r="E61" s="80">
        <f>SUM(B61:B65)</f>
        <v>152873.319511187</v>
      </c>
      <c r="F61" s="47">
        <v>76</v>
      </c>
      <c r="G61" s="80">
        <f>VLOOKUP(F61,Tables_CIMA!$E$5:$H$65,2,FALSE())*POWER(1/(1+Paramètres!$B$8),F61)</f>
        <v>52684.0173375081</v>
      </c>
      <c r="H61" s="80">
        <f>VLOOKUP(F61,Tables_CIMA!$E$5:$H$65,3,FALSE())*POWER(1/(1+Paramètres!$B$8),F61+0.5)</f>
        <v>1233.38708276039</v>
      </c>
      <c r="I61" s="80">
        <f>SUM(H61:H65)</f>
        <v>45534.1020492455</v>
      </c>
      <c r="J61" s="80">
        <f>SUM(G61:G65)</f>
        <v>234396.060195098</v>
      </c>
    </row>
    <row r="62" ht="14.25" customHeight="1" spans="1:10">
      <c r="A62" s="48">
        <v>77</v>
      </c>
      <c r="B62" s="81">
        <f>VLOOKUP(A62,Tables_CIMA!$A$5:$D$65,2,FALSE())*POWER(1/(1+Paramètres!$B$8),A62)</f>
        <v>33589.6357922937</v>
      </c>
      <c r="C62" s="81">
        <f>VLOOKUP(A62,Tables_CIMA!$A$5:$D$65,3,FALSE())*POWER(1/(1+Paramètres!$B$8),A62+0.5)</f>
        <v>2064.66736864873</v>
      </c>
      <c r="D62" s="81">
        <f>SUM(C62:C65)</f>
        <v>30182.4276836921</v>
      </c>
      <c r="E62" s="81">
        <f>SUM(B62:B65)</f>
        <v>115977.011675195</v>
      </c>
      <c r="F62" s="48">
        <v>77</v>
      </c>
      <c r="G62" s="81">
        <f>VLOOKUP(F62,Tables_CIMA!$E$5:$H$65,2,FALSE())*POWER(1/(1+Paramètres!$B$8),F62)</f>
        <v>49690.0788489636</v>
      </c>
      <c r="H62" s="81">
        <f>VLOOKUP(F62,Tables_CIMA!$E$5:$H$65,3,FALSE())*POWER(1/(1+Paramètres!$B$8),F62+0.5)</f>
        <v>1243.75039481197</v>
      </c>
      <c r="I62" s="81">
        <f>SUM(H62:H65)</f>
        <v>44300.7149664851</v>
      </c>
      <c r="J62" s="81">
        <f>SUM(G62:G65)</f>
        <v>181712.04285759</v>
      </c>
    </row>
    <row r="63" ht="14.25" customHeight="1" spans="1:10">
      <c r="A63" s="47">
        <v>78</v>
      </c>
      <c r="B63" s="80">
        <f>VLOOKUP(A63,Tables_CIMA!$A$5:$D$65,2,FALSE())*POWER(1/(1+Paramètres!$B$8),A63)</f>
        <v>30424.2970844046</v>
      </c>
      <c r="C63" s="80">
        <f>VLOOKUP(A63,Tables_CIMA!$A$5:$D$65,3,FALSE())*POWER(1/(1+Paramètres!$B$8),A63+0.5)</f>
        <v>2020.64140637949</v>
      </c>
      <c r="D63" s="80">
        <f>SUM(C63:C65)</f>
        <v>28117.7603150433</v>
      </c>
      <c r="E63" s="80">
        <f>SUM(B63:B65)</f>
        <v>82387.3758829008</v>
      </c>
      <c r="F63" s="47">
        <v>78</v>
      </c>
      <c r="G63" s="80">
        <f>VLOOKUP(F63,Tables_CIMA!$E$5:$H$65,2,FALSE())*POWER(1/(1+Paramètres!$B$8),F63)</f>
        <v>46787.1980771257</v>
      </c>
      <c r="H63" s="80">
        <f>VLOOKUP(F63,Tables_CIMA!$E$5:$H$65,3,FALSE())*POWER(1/(1+Paramètres!$B$8),F63+0.5)</f>
        <v>1249.85289038306</v>
      </c>
      <c r="I63" s="80">
        <f>SUM(H63:H65)</f>
        <v>43056.9645716731</v>
      </c>
      <c r="J63" s="80">
        <f>SUM(G63:G65)</f>
        <v>132021.964008626</v>
      </c>
    </row>
    <row r="64" ht="14.25" customHeight="1" spans="1:10">
      <c r="A64" s="48">
        <v>79</v>
      </c>
      <c r="B64" s="81">
        <f>VLOOKUP(A64,Tables_CIMA!$A$5:$D$65,2,FALSE())*POWER(1/(1+Paramètres!$B$8),A64)</f>
        <v>27409.2739759032</v>
      </c>
      <c r="C64" s="81">
        <f>VLOOKUP(A64,Tables_CIMA!$A$5:$D$65,3,FALSE())*POWER(1/(1+Paramètres!$B$8),A64+0.5)</f>
        <v>1962.04548140605</v>
      </c>
      <c r="D64" s="81">
        <f>SUM(C64:C65)</f>
        <v>26097.1189086638</v>
      </c>
      <c r="E64" s="81">
        <f>SUM(B64:B65)</f>
        <v>51963.0787984962</v>
      </c>
      <c r="F64" s="48">
        <v>79</v>
      </c>
      <c r="G64" s="81">
        <f>VLOOKUP(F64,Tables_CIMA!$E$5:$H$65,2,FALSE())*POWER(1/(1+Paramètres!$B$8),F64)</f>
        <v>43976.4839296469</v>
      </c>
      <c r="H64" s="81">
        <f>VLOOKUP(F64,Tables_CIMA!$E$5:$H$65,3,FALSE())*POWER(1/(1+Paramètres!$B$8),F64+0.5)</f>
        <v>1252.43297499914</v>
      </c>
      <c r="I64" s="81">
        <f>SUM(H64:H65)</f>
        <v>41807.1116812901</v>
      </c>
      <c r="J64" s="81">
        <f>SUM(G64:G65)</f>
        <v>85234.7659315002</v>
      </c>
    </row>
    <row r="65" ht="14.25" customHeight="1" spans="1:10">
      <c r="A65" s="47">
        <v>80</v>
      </c>
      <c r="B65" s="80">
        <f>VLOOKUP(A65,Tables_CIMA!$A$5:$D$65,2,FALSE())*POWER(1/(1+Paramètres!$B$8),A65)</f>
        <v>24553.8048225931</v>
      </c>
      <c r="C65" s="80">
        <f>VLOOKUP(A65,Tables_CIMA!$A$5:$D$65,3,FALSE())*POWER(1/(1+Paramètres!$B$8),A65+0.5)</f>
        <v>24135.0734272578</v>
      </c>
      <c r="D65" s="80">
        <f>SUM(C65:C65)</f>
        <v>24135.0734272578</v>
      </c>
      <c r="E65" s="80">
        <f>SUM(B65:B65)</f>
        <v>24553.8048225931</v>
      </c>
      <c r="F65" s="47">
        <v>80</v>
      </c>
      <c r="G65" s="80">
        <f>VLOOKUP(F65,Tables_CIMA!$E$5:$H$65,2,FALSE())*POWER(1/(1+Paramètres!$B$8),F65)</f>
        <v>41258.2820018533</v>
      </c>
      <c r="H65" s="80">
        <f>VLOOKUP(F65,Tables_CIMA!$E$5:$H$65,3,FALSE())*POWER(1/(1+Paramètres!$B$8),F65+0.5)</f>
        <v>40554.6787062909</v>
      </c>
      <c r="I65" s="80">
        <f>SUM(H65:H65)</f>
        <v>40554.6787062909</v>
      </c>
      <c r="J65" s="80">
        <f>SUM(G65:G65)</f>
        <v>41258.2820018533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opLeftCell="A7" workbookViewId="0">
      <selection activeCell="A2" sqref="$A2:$XFD2"/>
    </sheetView>
  </sheetViews>
  <sheetFormatPr defaultColWidth="8.69090909090909" defaultRowHeight="14.5" outlineLevelCol="5"/>
  <cols>
    <col min="1" max="1" width="32" style="1" customWidth="1"/>
    <col min="2" max="3" width="22" style="1" customWidth="1"/>
    <col min="4" max="4" width="18" style="1" customWidth="1"/>
  </cols>
  <sheetData>
    <row r="1" ht="16.5" customHeight="1" spans="1:6">
      <c r="A1" s="68" t="s">
        <v>23</v>
      </c>
      <c r="B1" s="68"/>
      <c r="C1" s="68"/>
      <c r="D1" s="68"/>
      <c r="E1" s="68"/>
      <c r="F1" s="68"/>
    </row>
    <row r="2" ht="14.25" customHeight="1" spans="1:6">
      <c r="A2" s="12"/>
      <c r="B2" s="12"/>
      <c r="C2" s="12"/>
      <c r="D2" s="12"/>
      <c r="E2" s="12"/>
      <c r="F2" s="12"/>
    </row>
    <row r="4" ht="14.25" customHeight="1" spans="1:4">
      <c r="A4" s="50" t="s">
        <v>24</v>
      </c>
      <c r="B4" s="50"/>
      <c r="C4" s="50"/>
      <c r="D4" s="50"/>
    </row>
    <row r="5" ht="14.25" customHeight="1" spans="1:3">
      <c r="A5" s="53" t="s">
        <v>25</v>
      </c>
      <c r="B5" s="69">
        <v>10000000</v>
      </c>
      <c r="C5" s="70"/>
    </row>
    <row r="6" ht="14.25" customHeight="1" spans="1:3">
      <c r="A6" s="53" t="s">
        <v>26</v>
      </c>
      <c r="B6" s="71">
        <v>15</v>
      </c>
      <c r="C6" s="70"/>
    </row>
    <row r="7" ht="14.25" customHeight="1" spans="1:3">
      <c r="A7" s="53" t="s">
        <v>27</v>
      </c>
      <c r="B7" s="72">
        <v>0.08</v>
      </c>
      <c r="C7" s="70"/>
    </row>
    <row r="8" ht="14.25" customHeight="1" spans="1:3">
      <c r="A8" s="53" t="s">
        <v>28</v>
      </c>
      <c r="B8" s="73">
        <v>0.035</v>
      </c>
      <c r="C8" s="70"/>
    </row>
    <row r="10" ht="14.25" customHeight="1" spans="1:4">
      <c r="A10" s="50" t="s">
        <v>29</v>
      </c>
      <c r="B10" s="50"/>
      <c r="C10" s="50"/>
      <c r="D10" s="50"/>
    </row>
    <row r="11" ht="14.25" customHeight="1" spans="2:3">
      <c r="B11" s="74" t="s">
        <v>30</v>
      </c>
      <c r="C11" s="74" t="s">
        <v>31</v>
      </c>
    </row>
    <row r="12" ht="14.25" customHeight="1" spans="1:3">
      <c r="A12" s="53" t="s">
        <v>32</v>
      </c>
      <c r="B12" s="75" t="s">
        <v>33</v>
      </c>
      <c r="C12" s="75" t="s">
        <v>34</v>
      </c>
    </row>
    <row r="13" ht="14.25" customHeight="1" spans="1:3">
      <c r="A13" s="53" t="s">
        <v>35</v>
      </c>
      <c r="B13" s="76">
        <v>40</v>
      </c>
      <c r="C13" s="76">
        <v>38</v>
      </c>
    </row>
    <row r="14" ht="14.25" customHeight="1" spans="1:3">
      <c r="A14" s="53" t="s">
        <v>36</v>
      </c>
      <c r="B14" s="77">
        <v>0.7</v>
      </c>
      <c r="C14" s="77">
        <v>0.3</v>
      </c>
    </row>
    <row r="16" ht="14.25" customHeight="1" spans="1:4">
      <c r="A16" s="50" t="s">
        <v>37</v>
      </c>
      <c r="B16" s="50"/>
      <c r="C16" s="50"/>
      <c r="D16" s="50"/>
    </row>
    <row r="17" ht="14.25" customHeight="1" spans="1:2">
      <c r="A17" s="53" t="s">
        <v>38</v>
      </c>
      <c r="B17" s="78">
        <v>0.1</v>
      </c>
    </row>
    <row r="18" ht="14.25" customHeight="1" spans="1:2">
      <c r="A18" s="53" t="s">
        <v>39</v>
      </c>
      <c r="B18" s="78">
        <v>0.25</v>
      </c>
    </row>
    <row r="19" ht="14.25" customHeight="1" spans="1:2">
      <c r="A19" s="53" t="s">
        <v>40</v>
      </c>
      <c r="B19" s="79">
        <v>0</v>
      </c>
    </row>
  </sheetData>
  <mergeCells count="5">
    <mergeCell ref="A1:F1"/>
    <mergeCell ref="A2:F2"/>
    <mergeCell ref="A4:D4"/>
    <mergeCell ref="A10:D10"/>
    <mergeCell ref="A16:D1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14" sqref="A14"/>
    </sheetView>
  </sheetViews>
  <sheetFormatPr defaultColWidth="8.69090909090909" defaultRowHeight="14.5" outlineLevelCol="4"/>
  <cols>
    <col min="1" max="1" width="34" style="1" customWidth="1"/>
    <col min="2" max="4" width="20" style="1" customWidth="1"/>
  </cols>
  <sheetData>
    <row r="1" ht="15" customHeight="1" spans="1:5">
      <c r="A1" s="2" t="s">
        <v>41</v>
      </c>
      <c r="B1" s="2"/>
      <c r="C1" s="2"/>
      <c r="D1" s="2"/>
      <c r="E1" s="2"/>
    </row>
    <row r="2" ht="14.25" customHeight="1" spans="1:5">
      <c r="A2" s="12"/>
      <c r="B2" s="12"/>
      <c r="C2" s="12"/>
      <c r="D2" s="12"/>
      <c r="E2" s="12"/>
    </row>
    <row r="4" ht="14.25" customHeight="1" spans="1:3">
      <c r="A4" s="50" t="s">
        <v>42</v>
      </c>
      <c r="B4" s="50"/>
      <c r="C4" s="50"/>
    </row>
    <row r="5" ht="14.25" customHeight="1" spans="1:2">
      <c r="A5" s="53" t="s">
        <v>43</v>
      </c>
      <c r="B5" s="52">
        <f>Paramètres!B5</f>
        <v>10000000</v>
      </c>
    </row>
    <row r="6" ht="14.25" customHeight="1" spans="1:2">
      <c r="A6" s="53" t="s">
        <v>44</v>
      </c>
      <c r="B6" s="54">
        <f>Paramètres!B6</f>
        <v>15</v>
      </c>
    </row>
    <row r="7" ht="14.25" customHeight="1" spans="1:2">
      <c r="A7" s="53" t="s">
        <v>45</v>
      </c>
      <c r="B7" s="61">
        <f>Paramètres!B7</f>
        <v>0.08</v>
      </c>
    </row>
    <row r="8" ht="14.25" customHeight="1" spans="1:2">
      <c r="A8" s="53" t="s">
        <v>46</v>
      </c>
      <c r="B8" s="61">
        <f>Paramètres!B8</f>
        <v>0.035</v>
      </c>
    </row>
    <row r="9" ht="14.25" customHeight="1" spans="1:2">
      <c r="A9" s="53" t="s">
        <v>47</v>
      </c>
      <c r="B9" s="54">
        <f>Paramètres!B13</f>
        <v>40</v>
      </c>
    </row>
    <row r="10" ht="14.25" customHeight="1" spans="1:2">
      <c r="A10" s="53" t="s">
        <v>48</v>
      </c>
      <c r="B10" s="54">
        <f>Paramètres!C13</f>
        <v>38</v>
      </c>
    </row>
    <row r="11" ht="14.25" customHeight="1" spans="1:2">
      <c r="A11" s="53" t="s">
        <v>49</v>
      </c>
      <c r="B11" s="56" t="str">
        <f>Paramètres!B12</f>
        <v>H</v>
      </c>
    </row>
    <row r="12" ht="14.25" customHeight="1" spans="1:2">
      <c r="A12" s="53" t="s">
        <v>50</v>
      </c>
      <c r="B12" s="56" t="str">
        <f>Paramètres!C12</f>
        <v>F</v>
      </c>
    </row>
    <row r="13" ht="14.25" customHeight="1" spans="1:2">
      <c r="A13" s="53" t="s">
        <v>51</v>
      </c>
      <c r="B13" s="62">
        <f>Paramètres!B14</f>
        <v>0.7</v>
      </c>
    </row>
    <row r="14" ht="14.25" customHeight="1" spans="1:2">
      <c r="A14" s="53" t="s">
        <v>52</v>
      </c>
      <c r="B14" s="62">
        <f>Paramètres!C14</f>
        <v>0.3</v>
      </c>
    </row>
    <row r="15" ht="14.25" customHeight="1" spans="1:2">
      <c r="A15" s="53" t="s">
        <v>53</v>
      </c>
      <c r="B15" s="63">
        <f>Paramètres!B17</f>
        <v>0.1</v>
      </c>
    </row>
    <row r="16" ht="14.25" customHeight="1" spans="1:2">
      <c r="A16" s="53" t="s">
        <v>54</v>
      </c>
      <c r="B16" s="63">
        <f>Paramètres!B18</f>
        <v>0.25</v>
      </c>
    </row>
    <row r="18" ht="14.25" customHeight="1" spans="1:4">
      <c r="A18" s="50" t="s">
        <v>55</v>
      </c>
      <c r="B18" s="50"/>
      <c r="C18" s="50"/>
      <c r="D18" s="50"/>
    </row>
    <row r="19" ht="14.25" customHeight="1" spans="1:4">
      <c r="A19" s="15" t="s">
        <v>56</v>
      </c>
      <c r="B19" s="15" t="s">
        <v>57</v>
      </c>
      <c r="C19" s="15" t="s">
        <v>58</v>
      </c>
      <c r="D19" s="15" t="s">
        <v>59</v>
      </c>
    </row>
    <row r="20" ht="14.25" customHeight="1" spans="1:4">
      <c r="A20" s="64" t="s">
        <v>60</v>
      </c>
      <c r="B20" s="47" t="s">
        <v>61</v>
      </c>
      <c r="C20" s="47" t="s">
        <v>62</v>
      </c>
      <c r="D20" s="47" t="s">
        <v>63</v>
      </c>
    </row>
    <row r="21" ht="14.25" customHeight="1" spans="1:4">
      <c r="A21" s="65" t="s">
        <v>64</v>
      </c>
      <c r="B21" s="9">
        <f>Calcul_PP!G23</f>
        <v>276706.292328989</v>
      </c>
      <c r="C21" s="9">
        <f>Calcul_PP!N23</f>
        <v>56403.0246177013</v>
      </c>
      <c r="D21" s="9">
        <f>Calcul_PP!G24</f>
        <v>333109.31694669</v>
      </c>
    </row>
    <row r="22" ht="14.25" customHeight="1" spans="1:4">
      <c r="A22" s="64" t="s">
        <v>65</v>
      </c>
      <c r="B22" s="6">
        <f>(VLOOKUP(Paramètres!B13,Commutation!A5:E65,5,FALSE())-VLOOKUP(Paramètres!B13+Paramètres!B6,Commutation!A5:E65,5,FALSE()))/VLOOKUP(Paramètres!B13,Commutation!A5:E65,2,FALSE())</f>
        <v>11.5524825003697</v>
      </c>
      <c r="C22" s="6">
        <f>(VLOOKUP(Paramètres!C13,Commutation!F5:J65,5,FALSE())-VLOOKUP(Paramètres!C13+Paramètres!B6,Commutation!F5:J65,5,FALSE()))/VLOOKUP(Paramètres!C13,Commutation!F5:J65,2,FALSE())</f>
        <v>11.7464854192019</v>
      </c>
      <c r="D22" s="47"/>
    </row>
    <row r="23" ht="14.25" customHeight="1" spans="1:4">
      <c r="A23" s="65" t="s">
        <v>66</v>
      </c>
      <c r="B23" s="9">
        <f>B21/B22</f>
        <v>23952.1065987448</v>
      </c>
      <c r="C23" s="9">
        <f>C21/C22</f>
        <v>4801.69366451515</v>
      </c>
      <c r="D23" s="9">
        <f>B23+C23</f>
        <v>28753.8002632599</v>
      </c>
    </row>
    <row r="24" ht="14.25" customHeight="1" spans="1:4">
      <c r="A24" s="64" t="s">
        <v>67</v>
      </c>
      <c r="B24" s="6">
        <f>(1+Paramètres!B17)*B23</f>
        <v>26347.3172586193</v>
      </c>
      <c r="C24" s="6">
        <f>(1+Paramètres!B17)*C23</f>
        <v>5281.86303096666</v>
      </c>
      <c r="D24" s="6">
        <f>B24+C24</f>
        <v>31629.1802895859</v>
      </c>
    </row>
    <row r="25" ht="14.25" customHeight="1" spans="1:4">
      <c r="A25" s="65" t="s">
        <v>68</v>
      </c>
      <c r="B25" s="9">
        <f>B24/(1-Paramètres!B18)</f>
        <v>35129.7563448257</v>
      </c>
      <c r="C25" s="9">
        <f>C24/(1-Paramètres!B18)</f>
        <v>7042.48404128888</v>
      </c>
      <c r="D25" s="9">
        <f>B25+C25</f>
        <v>42172.2403861146</v>
      </c>
    </row>
    <row r="26" ht="14.25" customHeight="1" spans="1:4">
      <c r="A26" s="64" t="s">
        <v>69</v>
      </c>
      <c r="B26" s="6">
        <f>B25/12</f>
        <v>2927.47969540214</v>
      </c>
      <c r="C26" s="6">
        <f>C25/12</f>
        <v>586.873670107407</v>
      </c>
      <c r="D26" s="6">
        <f>D25/12</f>
        <v>3514.35336550955</v>
      </c>
    </row>
    <row r="27" ht="14.25" customHeight="1" spans="1:4">
      <c r="A27" s="65" t="s">
        <v>70</v>
      </c>
      <c r="B27" s="48"/>
      <c r="C27" s="48"/>
      <c r="D27" s="66">
        <f>D25/Paramètres!B5</f>
        <v>0.00421722403861146</v>
      </c>
    </row>
    <row r="29" ht="21.75" customHeight="1" spans="1:5">
      <c r="A29" s="67" t="s">
        <v>71</v>
      </c>
      <c r="B29" s="67"/>
      <c r="C29" s="67"/>
      <c r="D29" s="67"/>
      <c r="E29" s="67"/>
    </row>
  </sheetData>
  <mergeCells count="5">
    <mergeCell ref="A1:E1"/>
    <mergeCell ref="A2:E2"/>
    <mergeCell ref="A4:C4"/>
    <mergeCell ref="A18:D18"/>
    <mergeCell ref="A29:E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9" sqref="A9"/>
    </sheetView>
  </sheetViews>
  <sheetFormatPr defaultColWidth="8.69090909090909" defaultRowHeight="14.5" outlineLevelCol="5"/>
  <cols>
    <col min="1" max="1" width="38" style="1" customWidth="1"/>
    <col min="2" max="2" width="20" style="1" customWidth="1"/>
    <col min="3" max="3" width="10" style="1" customWidth="1"/>
  </cols>
  <sheetData>
    <row r="1" ht="18" customHeight="1" spans="1:6">
      <c r="A1" s="49" t="s">
        <v>72</v>
      </c>
      <c r="B1" s="49"/>
      <c r="C1" s="49"/>
      <c r="D1" s="49"/>
      <c r="E1" s="49"/>
      <c r="F1" s="49"/>
    </row>
    <row r="3" ht="14.25" customHeight="1" spans="1:4">
      <c r="A3" s="50" t="s">
        <v>73</v>
      </c>
      <c r="B3" s="50"/>
      <c r="C3" s="50"/>
      <c r="D3" s="50"/>
    </row>
    <row r="4" ht="14.25" customHeight="1" spans="1:3">
      <c r="A4" s="51" t="s">
        <v>74</v>
      </c>
      <c r="B4" s="52">
        <f>Paramètres!B5</f>
        <v>10000000</v>
      </c>
      <c r="C4" s="53" t="s">
        <v>75</v>
      </c>
    </row>
    <row r="5" ht="14.25" customHeight="1" spans="1:3">
      <c r="A5" s="51" t="s">
        <v>76</v>
      </c>
      <c r="B5" s="54">
        <f>Paramètres!B6</f>
        <v>15</v>
      </c>
      <c r="C5" s="53" t="s">
        <v>77</v>
      </c>
    </row>
    <row r="6" ht="14.25" customHeight="1" spans="1:3">
      <c r="A6" s="51" t="s">
        <v>78</v>
      </c>
      <c r="B6" s="55">
        <f>Paramètres!B7</f>
        <v>0.08</v>
      </c>
      <c r="C6" s="53"/>
    </row>
    <row r="7" ht="14.25" customHeight="1" spans="1:3">
      <c r="A7" s="51" t="s">
        <v>79</v>
      </c>
      <c r="B7" s="56" t="str">
        <f>Paramètres!B13&amp;" ans / "&amp;Paramètres!B12</f>
        <v>40 ans / H</v>
      </c>
      <c r="C7" s="53"/>
    </row>
    <row r="8" ht="14.25" customHeight="1" spans="1:3">
      <c r="A8" s="51" t="s">
        <v>80</v>
      </c>
      <c r="B8" s="56" t="str">
        <f>Paramètres!C13&amp;" ans / "&amp;Paramètres!C12</f>
        <v>38 ans / F</v>
      </c>
      <c r="C8" s="53"/>
    </row>
    <row r="9" ht="14.25" customHeight="1" spans="1:3">
      <c r="A9" s="51" t="s">
        <v>81</v>
      </c>
      <c r="B9" s="56" t="str">
        <f>TEXT(Paramètres!B14,"0%")&amp;" / "&amp;TEXT(Paramètres!C14,"0%")</f>
        <v>70% / 30%</v>
      </c>
      <c r="C9" s="53"/>
    </row>
    <row r="11" ht="14.25" customHeight="1" spans="1:4">
      <c r="A11" s="50" t="s">
        <v>82</v>
      </c>
      <c r="B11" s="50"/>
      <c r="C11" s="50"/>
      <c r="D11" s="50"/>
    </row>
    <row r="12" ht="14.25" customHeight="1" spans="1:2">
      <c r="A12" s="57" t="s">
        <v>83</v>
      </c>
      <c r="B12" s="58">
        <f>Calcul_PP!G24</f>
        <v>333109.31694669</v>
      </c>
    </row>
    <row r="13" ht="14.25" customHeight="1" spans="1:2">
      <c r="A13" s="57" t="s">
        <v>84</v>
      </c>
      <c r="B13" s="58">
        <f>Calcul_PP!G27+Calcul_PP!N27</f>
        <v>28753.8002632599</v>
      </c>
    </row>
    <row r="14" ht="14.25" customHeight="1" spans="1:2">
      <c r="A14" s="57" t="s">
        <v>85</v>
      </c>
      <c r="B14" s="58">
        <f>Calcul_PP!G28+Calcul_PP!N28</f>
        <v>31629.1802895859</v>
      </c>
    </row>
    <row r="15" ht="14.25" customHeight="1" spans="1:2">
      <c r="A15" s="57" t="s">
        <v>86</v>
      </c>
      <c r="B15" s="59">
        <f>Calcul_PP!G30</f>
        <v>42172.2403861146</v>
      </c>
    </row>
    <row r="16" ht="14.25" customHeight="1" spans="1:2">
      <c r="A16" s="57" t="s">
        <v>69</v>
      </c>
      <c r="B16" s="59">
        <f>Calcul_PP!G31</f>
        <v>3514.35336550955</v>
      </c>
    </row>
    <row r="17" ht="14.25" customHeight="1" spans="1:2">
      <c r="A17" s="57" t="s">
        <v>87</v>
      </c>
      <c r="B17" s="60">
        <f>Calcul_PP!G32</f>
        <v>0.00421722403861146</v>
      </c>
    </row>
  </sheetData>
  <mergeCells count="3">
    <mergeCell ref="A1:F1"/>
    <mergeCell ref="A3:D3"/>
    <mergeCell ref="A11:D1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opLeftCell="A61" workbookViewId="0">
      <selection activeCell="C10" sqref="C10"/>
    </sheetView>
  </sheetViews>
  <sheetFormatPr defaultColWidth="8.69090909090909" defaultRowHeight="14.5" outlineLevelCol="7"/>
  <cols>
    <col min="1" max="1" width="9" style="1" customWidth="1"/>
    <col min="2" max="2" width="13" style="1" customWidth="1"/>
    <col min="3" max="3" width="11" style="1" customWidth="1"/>
    <col min="4" max="4" width="12" style="1" customWidth="1"/>
    <col min="5" max="5" width="9" style="1" customWidth="1"/>
    <col min="6" max="6" width="13" style="1" customWidth="1"/>
    <col min="7" max="7" width="16.2727272727273" style="1" customWidth="1"/>
    <col min="8" max="8" width="34.0909090909091" style="1" customWidth="1"/>
  </cols>
  <sheetData>
    <row r="1" ht="30" customHeight="1" spans="1:8">
      <c r="A1" s="2" t="s">
        <v>88</v>
      </c>
      <c r="B1" s="2"/>
      <c r="C1" s="2"/>
      <c r="D1" s="2"/>
      <c r="E1" s="2"/>
      <c r="F1" s="2"/>
      <c r="G1" s="2"/>
      <c r="H1" s="2"/>
    </row>
    <row r="2" ht="14.25" customHeight="1" spans="1:8">
      <c r="A2" s="12" t="s">
        <v>89</v>
      </c>
      <c r="B2" s="12"/>
      <c r="C2" s="12"/>
      <c r="D2" s="12"/>
      <c r="E2" s="12"/>
      <c r="F2" s="12"/>
      <c r="G2" s="12"/>
      <c r="H2" s="12"/>
    </row>
    <row r="4" ht="14.25" customHeight="1" spans="1:8">
      <c r="A4" s="46" t="s">
        <v>14</v>
      </c>
      <c r="B4" s="46" t="s">
        <v>90</v>
      </c>
      <c r="C4" s="46" t="s">
        <v>91</v>
      </c>
      <c r="D4" s="46" t="s">
        <v>92</v>
      </c>
      <c r="E4" s="43" t="s">
        <v>14</v>
      </c>
      <c r="F4" s="43" t="s">
        <v>93</v>
      </c>
      <c r="G4" s="43" t="s">
        <v>94</v>
      </c>
      <c r="H4" s="43" t="s">
        <v>95</v>
      </c>
    </row>
    <row r="5" ht="14.25" customHeight="1" spans="1:8">
      <c r="A5" s="47">
        <v>20</v>
      </c>
      <c r="B5" s="21">
        <v>983382</v>
      </c>
      <c r="C5" s="21">
        <v>1549</v>
      </c>
      <c r="D5" s="22">
        <v>0.00157517627941126</v>
      </c>
      <c r="E5" s="47">
        <v>20</v>
      </c>
      <c r="F5" s="21">
        <v>991158</v>
      </c>
      <c r="G5" s="21">
        <v>829</v>
      </c>
      <c r="H5" s="22">
        <v>0.000836395408199298</v>
      </c>
    </row>
    <row r="6" ht="14.25" customHeight="1" spans="1:8">
      <c r="A6" s="48">
        <v>21</v>
      </c>
      <c r="B6" s="27">
        <v>981833</v>
      </c>
      <c r="C6" s="27">
        <v>1612</v>
      </c>
      <c r="D6" s="28">
        <v>0.00164182707242474</v>
      </c>
      <c r="E6" s="48">
        <v>21</v>
      </c>
      <c r="F6" s="27">
        <v>990329</v>
      </c>
      <c r="G6" s="27">
        <v>857</v>
      </c>
      <c r="H6" s="28">
        <v>0.000865368983438837</v>
      </c>
    </row>
    <row r="7" ht="14.25" customHeight="1" spans="1:8">
      <c r="A7" s="47">
        <v>22</v>
      </c>
      <c r="B7" s="21">
        <v>980221</v>
      </c>
      <c r="C7" s="21">
        <v>1665</v>
      </c>
      <c r="D7" s="22">
        <v>0.00169859654098413</v>
      </c>
      <c r="E7" s="47">
        <v>22</v>
      </c>
      <c r="F7" s="21">
        <v>989472</v>
      </c>
      <c r="G7" s="21">
        <v>895</v>
      </c>
      <c r="H7" s="22">
        <v>0.000904522816209049</v>
      </c>
    </row>
    <row r="8" ht="14.25" customHeight="1" spans="1:8">
      <c r="A8" s="48">
        <v>23</v>
      </c>
      <c r="B8" s="27">
        <v>978556</v>
      </c>
      <c r="C8" s="27">
        <v>1720</v>
      </c>
      <c r="D8" s="28">
        <v>0.001757691946092</v>
      </c>
      <c r="E8" s="48">
        <v>23</v>
      </c>
      <c r="F8" s="27">
        <v>988577</v>
      </c>
      <c r="G8" s="27">
        <v>885</v>
      </c>
      <c r="H8" s="28">
        <v>0.000895226168523039</v>
      </c>
    </row>
    <row r="9" ht="14.25" customHeight="1" spans="1:8">
      <c r="A9" s="47">
        <v>24</v>
      </c>
      <c r="B9" s="21">
        <v>976836</v>
      </c>
      <c r="C9" s="21">
        <v>1574</v>
      </c>
      <c r="D9" s="22">
        <v>0.00161132472595195</v>
      </c>
      <c r="E9" s="47">
        <v>24</v>
      </c>
      <c r="F9" s="21">
        <v>987692</v>
      </c>
      <c r="G9" s="21">
        <v>902</v>
      </c>
      <c r="H9" s="22">
        <v>0.0009132401598879</v>
      </c>
    </row>
    <row r="10" ht="14.25" customHeight="1" spans="1:8">
      <c r="A10" s="48">
        <v>25</v>
      </c>
      <c r="B10" s="27">
        <v>975262</v>
      </c>
      <c r="C10" s="27">
        <v>1771</v>
      </c>
      <c r="D10" s="28">
        <v>0.00181592228549867</v>
      </c>
      <c r="E10" s="48">
        <v>25</v>
      </c>
      <c r="F10" s="27">
        <v>986790</v>
      </c>
      <c r="G10" s="27">
        <v>930</v>
      </c>
      <c r="H10" s="28">
        <v>0.000942449761347399</v>
      </c>
    </row>
    <row r="11" ht="14.25" customHeight="1" spans="1:8">
      <c r="A11" s="47">
        <v>26</v>
      </c>
      <c r="B11" s="21">
        <v>973491</v>
      </c>
      <c r="C11" s="21">
        <v>1803</v>
      </c>
      <c r="D11" s="22">
        <v>0.00185209724589133</v>
      </c>
      <c r="E11" s="47">
        <v>26</v>
      </c>
      <c r="F11" s="21">
        <v>985860</v>
      </c>
      <c r="G11" s="21">
        <v>978</v>
      </c>
      <c r="H11" s="22">
        <v>0.00099202726553466</v>
      </c>
    </row>
    <row r="12" ht="14.25" customHeight="1" spans="1:8">
      <c r="A12" s="48">
        <v>27</v>
      </c>
      <c r="B12" s="27">
        <v>971688</v>
      </c>
      <c r="C12" s="27">
        <v>1841</v>
      </c>
      <c r="D12" s="28">
        <v>0.00189464107820617</v>
      </c>
      <c r="E12" s="48">
        <v>27</v>
      </c>
      <c r="F12" s="27">
        <v>984882</v>
      </c>
      <c r="G12" s="27">
        <v>1034</v>
      </c>
      <c r="H12" s="28">
        <v>0.00104987196435715</v>
      </c>
    </row>
    <row r="13" ht="14.25" customHeight="1" spans="1:8">
      <c r="A13" s="47">
        <v>28</v>
      </c>
      <c r="B13" s="21">
        <v>969847</v>
      </c>
      <c r="C13" s="21">
        <v>1888</v>
      </c>
      <c r="D13" s="22">
        <v>0.00194669880919362</v>
      </c>
      <c r="E13" s="47">
        <v>28</v>
      </c>
      <c r="F13" s="21">
        <v>983848</v>
      </c>
      <c r="G13" s="21">
        <v>966</v>
      </c>
      <c r="H13" s="22">
        <v>0.000981858986347485</v>
      </c>
    </row>
    <row r="14" ht="14.25" customHeight="1" spans="1:8">
      <c r="A14" s="48">
        <v>29</v>
      </c>
      <c r="B14" s="27">
        <v>967959</v>
      </c>
      <c r="C14" s="27">
        <v>1678</v>
      </c>
      <c r="D14" s="28">
        <v>0.00173354449930214</v>
      </c>
      <c r="E14" s="48">
        <v>29</v>
      </c>
      <c r="F14" s="27">
        <v>982882</v>
      </c>
      <c r="G14" s="27">
        <v>995</v>
      </c>
      <c r="H14" s="28">
        <v>0.00101232904865487</v>
      </c>
    </row>
    <row r="15" ht="14.25" customHeight="1" spans="1:8">
      <c r="A15" s="47">
        <v>30</v>
      </c>
      <c r="B15" s="21">
        <v>966281</v>
      </c>
      <c r="C15" s="21">
        <v>1927</v>
      </c>
      <c r="D15" s="22">
        <v>0.00199424391041529</v>
      </c>
      <c r="E15" s="47">
        <v>30</v>
      </c>
      <c r="F15" s="21">
        <v>981887</v>
      </c>
      <c r="G15" s="21">
        <v>1056</v>
      </c>
      <c r="H15" s="22">
        <v>0.00107548017236199</v>
      </c>
    </row>
    <row r="16" ht="14.25" customHeight="1" spans="1:8">
      <c r="A16" s="48">
        <v>31</v>
      </c>
      <c r="B16" s="27">
        <v>964354</v>
      </c>
      <c r="C16" s="27">
        <v>1964</v>
      </c>
      <c r="D16" s="28">
        <v>0.00203659651953536</v>
      </c>
      <c r="E16" s="48">
        <v>31</v>
      </c>
      <c r="F16" s="27">
        <v>980831</v>
      </c>
      <c r="G16" s="27">
        <v>1077</v>
      </c>
      <c r="H16" s="28">
        <v>0.00109804849153422</v>
      </c>
    </row>
    <row r="17" ht="14.25" customHeight="1" spans="1:8">
      <c r="A17" s="47">
        <v>32</v>
      </c>
      <c r="B17" s="21">
        <v>962390</v>
      </c>
      <c r="C17" s="21">
        <v>2028</v>
      </c>
      <c r="D17" s="22">
        <v>0.00210725381602053</v>
      </c>
      <c r="E17" s="47">
        <v>32</v>
      </c>
      <c r="F17" s="21">
        <v>979754</v>
      </c>
      <c r="G17" s="21">
        <v>1114</v>
      </c>
      <c r="H17" s="22">
        <v>0.00113702010912944</v>
      </c>
    </row>
    <row r="18" ht="14.25" customHeight="1" spans="1:8">
      <c r="A18" s="48">
        <v>33</v>
      </c>
      <c r="B18" s="27">
        <v>960362</v>
      </c>
      <c r="C18" s="27">
        <v>2118</v>
      </c>
      <c r="D18" s="28">
        <v>0.00220541837348833</v>
      </c>
      <c r="E18" s="48">
        <v>33</v>
      </c>
      <c r="F18" s="27">
        <v>978640</v>
      </c>
      <c r="G18" s="27">
        <v>1165</v>
      </c>
      <c r="H18" s="28">
        <v>0.00119042753208534</v>
      </c>
    </row>
    <row r="19" ht="14.25" customHeight="1" spans="1:8">
      <c r="A19" s="47">
        <v>34</v>
      </c>
      <c r="B19" s="21">
        <v>958244</v>
      </c>
      <c r="C19" s="21">
        <v>2244</v>
      </c>
      <c r="D19" s="22">
        <v>0.00234178351234132</v>
      </c>
      <c r="E19" s="47">
        <v>34</v>
      </c>
      <c r="F19" s="21">
        <v>977475</v>
      </c>
      <c r="G19" s="21">
        <v>1235</v>
      </c>
      <c r="H19" s="22">
        <v>0.00126345942351467</v>
      </c>
    </row>
    <row r="20" ht="14.25" customHeight="1" spans="1:8">
      <c r="A20" s="48">
        <v>35</v>
      </c>
      <c r="B20" s="27">
        <v>956000</v>
      </c>
      <c r="C20" s="27">
        <v>2368</v>
      </c>
      <c r="D20" s="28">
        <v>0.00247698744769875</v>
      </c>
      <c r="E20" s="48">
        <v>35</v>
      </c>
      <c r="F20" s="27">
        <v>976240</v>
      </c>
      <c r="G20" s="27">
        <v>1306</v>
      </c>
      <c r="H20" s="28">
        <v>0.00133778579037942</v>
      </c>
    </row>
    <row r="21" ht="14.25" customHeight="1" spans="1:8">
      <c r="A21" s="47">
        <v>36</v>
      </c>
      <c r="B21" s="21">
        <v>953632</v>
      </c>
      <c r="C21" s="21">
        <v>2516</v>
      </c>
      <c r="D21" s="22">
        <v>0.00263833428408443</v>
      </c>
      <c r="E21" s="47">
        <v>36</v>
      </c>
      <c r="F21" s="21">
        <v>974934</v>
      </c>
      <c r="G21" s="21">
        <v>1389</v>
      </c>
      <c r="H21" s="22">
        <v>0.00142471182664673</v>
      </c>
    </row>
    <row r="22" ht="14.25" customHeight="1" spans="1:8">
      <c r="A22" s="48">
        <v>37</v>
      </c>
      <c r="B22" s="27">
        <v>951116</v>
      </c>
      <c r="C22" s="27">
        <v>2671</v>
      </c>
      <c r="D22" s="28">
        <v>0.00280827995743947</v>
      </c>
      <c r="E22" s="48">
        <v>37</v>
      </c>
      <c r="F22" s="27">
        <v>973545</v>
      </c>
      <c r="G22" s="27">
        <v>1476</v>
      </c>
      <c r="H22" s="28">
        <v>0.00151610865445357</v>
      </c>
    </row>
    <row r="23" ht="14.25" customHeight="1" spans="1:8">
      <c r="A23" s="47">
        <v>38</v>
      </c>
      <c r="B23" s="21">
        <v>948445</v>
      </c>
      <c r="C23" s="21">
        <v>2849</v>
      </c>
      <c r="D23" s="22">
        <v>0.0030038642198546</v>
      </c>
      <c r="E23" s="47">
        <v>38</v>
      </c>
      <c r="F23" s="21">
        <v>972069</v>
      </c>
      <c r="G23" s="21">
        <v>1577</v>
      </c>
      <c r="H23" s="22">
        <v>0.00162231281935747</v>
      </c>
    </row>
    <row r="24" ht="14.25" customHeight="1" spans="1:8">
      <c r="A24" s="48">
        <v>39</v>
      </c>
      <c r="B24" s="27">
        <v>945596</v>
      </c>
      <c r="C24" s="27">
        <v>3057</v>
      </c>
      <c r="D24" s="28">
        <v>0.00323288169577706</v>
      </c>
      <c r="E24" s="48">
        <v>39</v>
      </c>
      <c r="F24" s="27">
        <v>970492</v>
      </c>
      <c r="G24" s="27">
        <v>1696</v>
      </c>
      <c r="H24" s="28">
        <v>0.00174756721333097</v>
      </c>
    </row>
    <row r="25" ht="14.25" customHeight="1" spans="1:8">
      <c r="A25" s="47">
        <v>40</v>
      </c>
      <c r="B25" s="21">
        <v>942539</v>
      </c>
      <c r="C25" s="21">
        <v>3296</v>
      </c>
      <c r="D25" s="22">
        <v>0.00349693752725351</v>
      </c>
      <c r="E25" s="47">
        <v>40</v>
      </c>
      <c r="F25" s="21">
        <v>968796</v>
      </c>
      <c r="G25" s="21">
        <v>1831</v>
      </c>
      <c r="H25" s="22">
        <v>0.00188997477281079</v>
      </c>
    </row>
    <row r="26" ht="14.25" customHeight="1" spans="1:8">
      <c r="A26" s="48">
        <v>41</v>
      </c>
      <c r="B26" s="27">
        <v>939243</v>
      </c>
      <c r="C26" s="27">
        <v>3584</v>
      </c>
      <c r="D26" s="28">
        <v>0.00381583892560285</v>
      </c>
      <c r="E26" s="48">
        <v>41</v>
      </c>
      <c r="F26" s="27">
        <v>966965</v>
      </c>
      <c r="G26" s="27">
        <v>1995</v>
      </c>
      <c r="H26" s="28">
        <v>0.00206315637070628</v>
      </c>
    </row>
    <row r="27" ht="14.25" customHeight="1" spans="1:8">
      <c r="A27" s="47">
        <v>42</v>
      </c>
      <c r="B27" s="21">
        <v>935659</v>
      </c>
      <c r="C27" s="21">
        <v>3877</v>
      </c>
      <c r="D27" s="22">
        <v>0.00414360359917449</v>
      </c>
      <c r="E27" s="47">
        <v>42</v>
      </c>
      <c r="F27" s="21">
        <v>964970</v>
      </c>
      <c r="G27" s="21">
        <v>2162</v>
      </c>
      <c r="H27" s="22">
        <v>0.00224048416012933</v>
      </c>
    </row>
    <row r="28" ht="14.25" customHeight="1" spans="1:8">
      <c r="A28" s="48">
        <v>43</v>
      </c>
      <c r="B28" s="27">
        <v>931782</v>
      </c>
      <c r="C28" s="27">
        <v>4194</v>
      </c>
      <c r="D28" s="28">
        <v>0.00450105282136809</v>
      </c>
      <c r="E28" s="48">
        <v>43</v>
      </c>
      <c r="F28" s="27">
        <v>962808</v>
      </c>
      <c r="G28" s="27">
        <v>2344</v>
      </c>
      <c r="H28" s="28">
        <v>0.00243454562072604</v>
      </c>
    </row>
    <row r="29" ht="14.25" customHeight="1" spans="1:8">
      <c r="A29" s="47">
        <v>44</v>
      </c>
      <c r="B29" s="21">
        <v>927588</v>
      </c>
      <c r="C29" s="21">
        <v>4523</v>
      </c>
      <c r="D29" s="22">
        <v>0.00487608722838157</v>
      </c>
      <c r="E29" s="47">
        <v>44</v>
      </c>
      <c r="F29" s="21">
        <v>960464</v>
      </c>
      <c r="G29" s="21">
        <v>2534</v>
      </c>
      <c r="H29" s="22">
        <v>0.00263830815106032</v>
      </c>
    </row>
    <row r="30" ht="14.25" customHeight="1" spans="1:8">
      <c r="A30" s="48">
        <v>45</v>
      </c>
      <c r="B30" s="27">
        <v>923065</v>
      </c>
      <c r="C30" s="27">
        <v>4866</v>
      </c>
      <c r="D30" s="28">
        <v>0.00527156809108784</v>
      </c>
      <c r="E30" s="48">
        <v>45</v>
      </c>
      <c r="F30" s="27">
        <v>957930</v>
      </c>
      <c r="G30" s="27">
        <v>2733</v>
      </c>
      <c r="H30" s="28">
        <v>0.00285302683912186</v>
      </c>
    </row>
    <row r="31" ht="14.25" customHeight="1" spans="1:8">
      <c r="A31" s="47">
        <v>46</v>
      </c>
      <c r="B31" s="21">
        <v>918199</v>
      </c>
      <c r="C31" s="21">
        <v>5200</v>
      </c>
      <c r="D31" s="22">
        <v>0.00566326036077147</v>
      </c>
      <c r="E31" s="47">
        <v>46</v>
      </c>
      <c r="F31" s="21">
        <v>955197</v>
      </c>
      <c r="G31" s="21">
        <v>2929</v>
      </c>
      <c r="H31" s="22">
        <v>0.00306638316493875</v>
      </c>
    </row>
    <row r="32" ht="14.25" customHeight="1" spans="1:8">
      <c r="A32" s="48">
        <v>47</v>
      </c>
      <c r="B32" s="27">
        <v>912999</v>
      </c>
      <c r="C32" s="27">
        <v>5515</v>
      </c>
      <c r="D32" s="28">
        <v>0.00604053235545713</v>
      </c>
      <c r="E32" s="48">
        <v>47</v>
      </c>
      <c r="F32" s="27">
        <v>952268</v>
      </c>
      <c r="G32" s="27">
        <v>3115</v>
      </c>
      <c r="H32" s="28">
        <v>0.0032711379569617</v>
      </c>
    </row>
    <row r="33" ht="14.25" customHeight="1" spans="1:8">
      <c r="A33" s="47">
        <v>48</v>
      </c>
      <c r="B33" s="21">
        <v>907484</v>
      </c>
      <c r="C33" s="21">
        <v>5815</v>
      </c>
      <c r="D33" s="22">
        <v>0.00640782647407558</v>
      </c>
      <c r="E33" s="47">
        <v>48</v>
      </c>
      <c r="F33" s="21">
        <v>949153</v>
      </c>
      <c r="G33" s="21">
        <v>3294</v>
      </c>
      <c r="H33" s="22">
        <v>0.00347046261245553</v>
      </c>
    </row>
    <row r="34" ht="14.25" customHeight="1" spans="1:8">
      <c r="A34" s="48">
        <v>49</v>
      </c>
      <c r="B34" s="27">
        <v>901669</v>
      </c>
      <c r="C34" s="27">
        <v>6108</v>
      </c>
      <c r="D34" s="28">
        <v>0.0067741044662731</v>
      </c>
      <c r="E34" s="48">
        <v>49</v>
      </c>
      <c r="F34" s="27">
        <v>945859</v>
      </c>
      <c r="G34" s="27">
        <v>3472</v>
      </c>
      <c r="H34" s="28">
        <v>0.00367073739320554</v>
      </c>
    </row>
    <row r="35" ht="14.25" customHeight="1" spans="1:8">
      <c r="A35" s="47">
        <v>50</v>
      </c>
      <c r="B35" s="21">
        <v>895561</v>
      </c>
      <c r="C35" s="21">
        <v>6395</v>
      </c>
      <c r="D35" s="22">
        <v>0.00714077544689865</v>
      </c>
      <c r="E35" s="47">
        <v>50</v>
      </c>
      <c r="F35" s="21">
        <v>942387</v>
      </c>
      <c r="G35" s="21">
        <v>3647</v>
      </c>
      <c r="H35" s="22">
        <v>0.00386996000581502</v>
      </c>
    </row>
    <row r="36" ht="14.25" customHeight="1" spans="1:8">
      <c r="A36" s="48">
        <v>51</v>
      </c>
      <c r="B36" s="27">
        <v>889166</v>
      </c>
      <c r="C36" s="27">
        <v>6704</v>
      </c>
      <c r="D36" s="28">
        <v>0.00753964951426393</v>
      </c>
      <c r="E36" s="48">
        <v>51</v>
      </c>
      <c r="F36" s="27">
        <v>938740</v>
      </c>
      <c r="G36" s="27">
        <v>3837</v>
      </c>
      <c r="H36" s="28">
        <v>0.00408739374054584</v>
      </c>
    </row>
    <row r="37" ht="14.25" customHeight="1" spans="1:8">
      <c r="A37" s="47">
        <v>52</v>
      </c>
      <c r="B37" s="21">
        <v>882462</v>
      </c>
      <c r="C37" s="21">
        <v>7027</v>
      </c>
      <c r="D37" s="22">
        <v>0.00796294911282299</v>
      </c>
      <c r="E37" s="47">
        <v>52</v>
      </c>
      <c r="F37" s="21">
        <v>934903</v>
      </c>
      <c r="G37" s="21">
        <v>4035</v>
      </c>
      <c r="H37" s="22">
        <v>0.00431595577295185</v>
      </c>
    </row>
    <row r="38" ht="14.25" customHeight="1" spans="1:8">
      <c r="A38" s="48">
        <v>53</v>
      </c>
      <c r="B38" s="27">
        <v>875435</v>
      </c>
      <c r="C38" s="27">
        <v>7359</v>
      </c>
      <c r="D38" s="28">
        <v>0.00840610667839417</v>
      </c>
      <c r="E38" s="48">
        <v>53</v>
      </c>
      <c r="F38" s="27">
        <v>930868</v>
      </c>
      <c r="G38" s="27">
        <v>4244</v>
      </c>
      <c r="H38" s="28">
        <v>0.00455918562030277</v>
      </c>
    </row>
    <row r="39" ht="14.25" customHeight="1" spans="1:8">
      <c r="A39" s="47">
        <v>54</v>
      </c>
      <c r="B39" s="21">
        <v>868076</v>
      </c>
      <c r="C39" s="21">
        <v>7711</v>
      </c>
      <c r="D39" s="22">
        <v>0.00888286279081555</v>
      </c>
      <c r="E39" s="47">
        <v>54</v>
      </c>
      <c r="F39" s="21">
        <v>926624</v>
      </c>
      <c r="G39" s="21">
        <v>4465</v>
      </c>
      <c r="H39" s="22">
        <v>0.00481856718582726</v>
      </c>
    </row>
    <row r="40" ht="14.25" customHeight="1" spans="1:8">
      <c r="A40" s="48">
        <v>55</v>
      </c>
      <c r="B40" s="27">
        <v>860365</v>
      </c>
      <c r="C40" s="27">
        <v>8066</v>
      </c>
      <c r="D40" s="28">
        <v>0.00937509080448414</v>
      </c>
      <c r="E40" s="48">
        <v>55</v>
      </c>
      <c r="F40" s="27">
        <v>922159</v>
      </c>
      <c r="G40" s="27">
        <v>4691</v>
      </c>
      <c r="H40" s="28">
        <v>0.00508697523962787</v>
      </c>
    </row>
    <row r="41" ht="14.25" customHeight="1" spans="1:8">
      <c r="A41" s="47">
        <v>56</v>
      </c>
      <c r="B41" s="21">
        <v>852299</v>
      </c>
      <c r="C41" s="21">
        <v>8425</v>
      </c>
      <c r="D41" s="22">
        <v>0.00988502861085136</v>
      </c>
      <c r="E41" s="47">
        <v>56</v>
      </c>
      <c r="F41" s="21">
        <v>917468</v>
      </c>
      <c r="G41" s="21">
        <v>4917</v>
      </c>
      <c r="H41" s="22">
        <v>0.00535931498428283</v>
      </c>
    </row>
    <row r="42" ht="14.25" customHeight="1" spans="1:8">
      <c r="A42" s="48">
        <v>57</v>
      </c>
      <c r="B42" s="27">
        <v>843874</v>
      </c>
      <c r="C42" s="27">
        <v>8941</v>
      </c>
      <c r="D42" s="28">
        <v>0.0105951836411597</v>
      </c>
      <c r="E42" s="48">
        <v>57</v>
      </c>
      <c r="F42" s="27">
        <v>912551</v>
      </c>
      <c r="G42" s="27">
        <v>5222</v>
      </c>
      <c r="H42" s="28">
        <v>0.00572241989762764</v>
      </c>
    </row>
    <row r="43" ht="14.25" customHeight="1" spans="1:8">
      <c r="A43" s="47">
        <v>58</v>
      </c>
      <c r="B43" s="21">
        <v>834933</v>
      </c>
      <c r="C43" s="21">
        <v>9531</v>
      </c>
      <c r="D43" s="22">
        <v>0.0114152872146627</v>
      </c>
      <c r="E43" s="47">
        <v>58</v>
      </c>
      <c r="F43" s="21">
        <v>907329</v>
      </c>
      <c r="G43" s="21">
        <v>5569</v>
      </c>
      <c r="H43" s="22">
        <v>0.00613779566177208</v>
      </c>
    </row>
    <row r="44" ht="14.25" customHeight="1" spans="1:8">
      <c r="A44" s="48">
        <v>59</v>
      </c>
      <c r="B44" s="27">
        <v>825402</v>
      </c>
      <c r="C44" s="27">
        <v>10282</v>
      </c>
      <c r="D44" s="28">
        <v>0.0124569603659792</v>
      </c>
      <c r="E44" s="48">
        <v>59</v>
      </c>
      <c r="F44" s="27">
        <v>901760</v>
      </c>
      <c r="G44" s="27">
        <v>6003</v>
      </c>
      <c r="H44" s="28">
        <v>0.0066569819020582</v>
      </c>
    </row>
    <row r="45" ht="14.25" customHeight="1" spans="1:8">
      <c r="A45" s="47">
        <v>60</v>
      </c>
      <c r="B45" s="21">
        <v>815120</v>
      </c>
      <c r="C45" s="21">
        <v>11005</v>
      </c>
      <c r="D45" s="22">
        <v>0.0135010795956424</v>
      </c>
      <c r="E45" s="47">
        <v>60</v>
      </c>
      <c r="F45" s="21">
        <v>895757</v>
      </c>
      <c r="G45" s="21">
        <v>6418</v>
      </c>
      <c r="H45" s="22">
        <v>0.00716488958501022</v>
      </c>
    </row>
    <row r="46" ht="14.25" customHeight="1" spans="1:8">
      <c r="A46" s="48">
        <v>61</v>
      </c>
      <c r="B46" s="27">
        <v>804115</v>
      </c>
      <c r="C46" s="27">
        <v>11755</v>
      </c>
      <c r="D46" s="28">
        <v>0.0146185558035853</v>
      </c>
      <c r="E46" s="48">
        <v>61</v>
      </c>
      <c r="F46" s="27">
        <v>889339</v>
      </c>
      <c r="G46" s="27">
        <v>6836</v>
      </c>
      <c r="H46" s="28">
        <v>0.00768660769402894</v>
      </c>
    </row>
    <row r="47" ht="14.25" customHeight="1" spans="1:8">
      <c r="A47" s="47">
        <v>62</v>
      </c>
      <c r="B47" s="21">
        <v>792360</v>
      </c>
      <c r="C47" s="21">
        <v>12639</v>
      </c>
      <c r="D47" s="22">
        <v>0.0159510828411328</v>
      </c>
      <c r="E47" s="47">
        <v>62</v>
      </c>
      <c r="F47" s="21">
        <v>882503</v>
      </c>
      <c r="G47" s="21">
        <v>7330</v>
      </c>
      <c r="H47" s="22">
        <v>0.00830592077307386</v>
      </c>
    </row>
    <row r="48" ht="14.25" customHeight="1" spans="1:8">
      <c r="A48" s="48">
        <v>63</v>
      </c>
      <c r="B48" s="27">
        <v>779721</v>
      </c>
      <c r="C48" s="27">
        <v>13672</v>
      </c>
      <c r="D48" s="28">
        <v>0.0175344770757745</v>
      </c>
      <c r="E48" s="48">
        <v>63</v>
      </c>
      <c r="F48" s="27">
        <v>875173</v>
      </c>
      <c r="G48" s="27">
        <v>7880</v>
      </c>
      <c r="H48" s="28">
        <v>0.00900393407931917</v>
      </c>
    </row>
    <row r="49" ht="14.25" customHeight="1" spans="1:8">
      <c r="A49" s="47">
        <v>64</v>
      </c>
      <c r="B49" s="21">
        <v>766049</v>
      </c>
      <c r="C49" s="21">
        <v>14862</v>
      </c>
      <c r="D49" s="22">
        <v>0.0194008477264509</v>
      </c>
      <c r="E49" s="47">
        <v>64</v>
      </c>
      <c r="F49" s="21">
        <v>867293</v>
      </c>
      <c r="G49" s="21">
        <v>8474</v>
      </c>
      <c r="H49" s="22">
        <v>0.00977063114772055</v>
      </c>
    </row>
    <row r="50" ht="14.25" customHeight="1" spans="1:8">
      <c r="A50" s="48">
        <v>65</v>
      </c>
      <c r="B50" s="27">
        <v>751187</v>
      </c>
      <c r="C50" s="27">
        <v>16159</v>
      </c>
      <c r="D50" s="28">
        <v>0.0215112881346456</v>
      </c>
      <c r="E50" s="48">
        <v>65</v>
      </c>
      <c r="F50" s="27">
        <v>858819</v>
      </c>
      <c r="G50" s="27">
        <v>9074</v>
      </c>
      <c r="H50" s="28">
        <v>0.0105656721614217</v>
      </c>
    </row>
    <row r="51" ht="14.25" customHeight="1" spans="1:8">
      <c r="A51" s="47">
        <v>66</v>
      </c>
      <c r="B51" s="21">
        <v>735028</v>
      </c>
      <c r="C51" s="21">
        <v>17501</v>
      </c>
      <c r="D51" s="22">
        <v>0.023809977306987</v>
      </c>
      <c r="E51" s="47">
        <v>66</v>
      </c>
      <c r="F51" s="21">
        <v>849745</v>
      </c>
      <c r="G51" s="21">
        <v>9701</v>
      </c>
      <c r="H51" s="22">
        <v>0.0114163660862965</v>
      </c>
    </row>
    <row r="52" ht="14.25" customHeight="1" spans="1:8">
      <c r="A52" s="48">
        <v>67</v>
      </c>
      <c r="B52" s="27">
        <v>717527</v>
      </c>
      <c r="C52" s="27">
        <v>18855</v>
      </c>
      <c r="D52" s="28">
        <v>0.0262777567952147</v>
      </c>
      <c r="E52" s="48">
        <v>67</v>
      </c>
      <c r="F52" s="27">
        <v>840044</v>
      </c>
      <c r="G52" s="27">
        <v>10365</v>
      </c>
      <c r="H52" s="28">
        <v>0.0123386394046026</v>
      </c>
    </row>
    <row r="53" ht="14.25" customHeight="1" spans="1:8">
      <c r="A53" s="47">
        <v>68</v>
      </c>
      <c r="B53" s="21">
        <v>698672</v>
      </c>
      <c r="C53" s="21">
        <v>20142</v>
      </c>
      <c r="D53" s="22">
        <v>0.028828978404745</v>
      </c>
      <c r="E53" s="47">
        <v>68</v>
      </c>
      <c r="F53" s="21">
        <v>829679</v>
      </c>
      <c r="G53" s="21">
        <v>11082</v>
      </c>
      <c r="H53" s="22">
        <v>0.0133569729979908</v>
      </c>
    </row>
    <row r="54" ht="14.25" customHeight="1" spans="1:8">
      <c r="A54" s="48">
        <v>69</v>
      </c>
      <c r="B54" s="27">
        <v>678530</v>
      </c>
      <c r="C54" s="27">
        <v>21389</v>
      </c>
      <c r="D54" s="28">
        <v>0.0315225561139522</v>
      </c>
      <c r="E54" s="48">
        <v>69</v>
      </c>
      <c r="F54" s="27">
        <v>818597</v>
      </c>
      <c r="G54" s="27">
        <v>11831</v>
      </c>
      <c r="H54" s="28">
        <v>0.0144527771296499</v>
      </c>
    </row>
    <row r="55" ht="14.25" customHeight="1" spans="1:8">
      <c r="A55" s="47">
        <v>70</v>
      </c>
      <c r="B55" s="21">
        <v>657141</v>
      </c>
      <c r="C55" s="21">
        <v>22569</v>
      </c>
      <c r="D55" s="22">
        <v>0.034344227494556</v>
      </c>
      <c r="E55" s="47">
        <v>70</v>
      </c>
      <c r="F55" s="21">
        <v>806766</v>
      </c>
      <c r="G55" s="21">
        <v>12614</v>
      </c>
      <c r="H55" s="22">
        <v>0.0156352647483905</v>
      </c>
    </row>
    <row r="56" ht="14.25" customHeight="1" spans="1:8">
      <c r="A56" s="48">
        <v>71</v>
      </c>
      <c r="B56" s="27">
        <v>634572</v>
      </c>
      <c r="C56" s="27">
        <v>23740</v>
      </c>
      <c r="D56" s="28">
        <v>0.0374110424033837</v>
      </c>
      <c r="E56" s="48">
        <v>71</v>
      </c>
      <c r="F56" s="27">
        <v>794152</v>
      </c>
      <c r="G56" s="27">
        <v>13382</v>
      </c>
      <c r="H56" s="28">
        <v>0.0168506784595392</v>
      </c>
    </row>
    <row r="57" ht="14.25" customHeight="1" spans="1:8">
      <c r="A57" s="47">
        <v>72</v>
      </c>
      <c r="B57" s="21">
        <v>610832</v>
      </c>
      <c r="C57" s="21">
        <v>24959</v>
      </c>
      <c r="D57" s="22">
        <v>0.0408606621787988</v>
      </c>
      <c r="E57" s="47">
        <v>72</v>
      </c>
      <c r="F57" s="21">
        <v>780770</v>
      </c>
      <c r="G57" s="21">
        <v>14145</v>
      </c>
      <c r="H57" s="22">
        <v>0.0181167309194769</v>
      </c>
    </row>
    <row r="58" ht="14.25" customHeight="1" spans="1:8">
      <c r="A58" s="48">
        <v>73</v>
      </c>
      <c r="B58" s="27">
        <v>585873</v>
      </c>
      <c r="C58" s="27">
        <v>26175</v>
      </c>
      <c r="D58" s="28">
        <v>0.0446769180351373</v>
      </c>
      <c r="E58" s="48">
        <v>73</v>
      </c>
      <c r="F58" s="27">
        <v>766625</v>
      </c>
      <c r="G58" s="27">
        <v>14901</v>
      </c>
      <c r="H58" s="28">
        <v>0.0194371433230067</v>
      </c>
    </row>
    <row r="59" ht="14.25" customHeight="1" spans="1:8">
      <c r="A59" s="47">
        <v>74</v>
      </c>
      <c r="B59" s="21">
        <v>559698</v>
      </c>
      <c r="C59" s="21">
        <v>27342</v>
      </c>
      <c r="D59" s="22">
        <v>0.0488513448323918</v>
      </c>
      <c r="E59" s="47">
        <v>74</v>
      </c>
      <c r="F59" s="21">
        <v>751724</v>
      </c>
      <c r="G59" s="21">
        <v>15657</v>
      </c>
      <c r="H59" s="22">
        <v>0.020828123087729</v>
      </c>
    </row>
    <row r="60" ht="14.25" customHeight="1" spans="1:8">
      <c r="A60" s="48">
        <v>75</v>
      </c>
      <c r="B60" s="27">
        <v>532356</v>
      </c>
      <c r="C60" s="27">
        <v>28334</v>
      </c>
      <c r="D60" s="28">
        <v>0.0532237825815808</v>
      </c>
      <c r="E60" s="48">
        <v>75</v>
      </c>
      <c r="F60" s="27">
        <v>736067</v>
      </c>
      <c r="G60" s="27">
        <v>16377</v>
      </c>
      <c r="H60" s="28">
        <v>0.0222493332808019</v>
      </c>
    </row>
    <row r="61" ht="14.25" customHeight="1" spans="1:8">
      <c r="A61" s="47">
        <v>76</v>
      </c>
      <c r="B61" s="21">
        <v>504022</v>
      </c>
      <c r="C61" s="21">
        <v>29111</v>
      </c>
      <c r="D61" s="22">
        <v>0.0577573994785942</v>
      </c>
      <c r="E61" s="47">
        <v>76</v>
      </c>
      <c r="F61" s="21">
        <v>719690</v>
      </c>
      <c r="G61" s="21">
        <v>17141</v>
      </c>
      <c r="H61" s="22">
        <v>0.0238171990718226</v>
      </c>
    </row>
    <row r="62" ht="14.25" customHeight="1" spans="1:8">
      <c r="A62" s="48">
        <v>77</v>
      </c>
      <c r="B62" s="27">
        <v>474911</v>
      </c>
      <c r="C62" s="27">
        <v>29698</v>
      </c>
      <c r="D62" s="28">
        <v>0.0625338221266722</v>
      </c>
      <c r="E62" s="48">
        <v>77</v>
      </c>
      <c r="F62" s="27">
        <v>702549</v>
      </c>
      <c r="G62" s="27">
        <v>17890</v>
      </c>
      <c r="H62" s="28">
        <v>0.025464416005147</v>
      </c>
    </row>
    <row r="63" ht="14.25" customHeight="1" spans="1:8">
      <c r="A63" s="47">
        <v>78</v>
      </c>
      <c r="B63" s="21">
        <v>445213</v>
      </c>
      <c r="C63" s="21">
        <v>30082</v>
      </c>
      <c r="D63" s="22">
        <v>0.0675676586263204</v>
      </c>
      <c r="E63" s="47">
        <v>78</v>
      </c>
      <c r="F63" s="21">
        <v>684659</v>
      </c>
      <c r="G63" s="21">
        <v>18607</v>
      </c>
      <c r="H63" s="22">
        <v>0.0271770326542118</v>
      </c>
    </row>
    <row r="64" ht="14.25" customHeight="1" spans="1:8">
      <c r="A64" s="48">
        <v>79</v>
      </c>
      <c r="B64" s="27">
        <v>415131</v>
      </c>
      <c r="C64" s="27">
        <v>30232</v>
      </c>
      <c r="D64" s="28">
        <v>0.0728252045739779</v>
      </c>
      <c r="E64" s="48">
        <v>79</v>
      </c>
      <c r="F64" s="27">
        <v>666052</v>
      </c>
      <c r="G64" s="27">
        <v>19298</v>
      </c>
      <c r="H64" s="28">
        <v>0.0289737137640905</v>
      </c>
    </row>
    <row r="65" ht="14.25" customHeight="1" spans="1:8">
      <c r="A65" s="47">
        <v>80</v>
      </c>
      <c r="B65" s="21">
        <v>384899</v>
      </c>
      <c r="C65" s="21">
        <v>384899</v>
      </c>
      <c r="D65" s="22">
        <v>1</v>
      </c>
      <c r="E65" s="47">
        <v>80</v>
      </c>
      <c r="F65" s="21">
        <v>646754</v>
      </c>
      <c r="G65" s="21">
        <v>646754</v>
      </c>
      <c r="H65" s="22">
        <v>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="102" zoomScaleNormal="102" workbookViewId="0">
      <selection activeCell="F4" sqref="F4"/>
    </sheetView>
  </sheetViews>
  <sheetFormatPr defaultColWidth="8.69090909090909" defaultRowHeight="14.5"/>
  <cols>
    <col min="1" max="1" width="36" style="1" customWidth="1"/>
    <col min="2" max="7" width="16" style="1" customWidth="1"/>
    <col min="8" max="8" width="36" style="1" customWidth="1"/>
    <col min="9" max="14" width="16" style="1" customWidth="1"/>
  </cols>
  <sheetData>
    <row r="1" ht="15" customHeight="1" spans="1:12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25" customHeight="1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ht="33" customHeight="1" spans="1:14">
      <c r="A3" s="13" t="s">
        <v>57</v>
      </c>
      <c r="B3" s="13"/>
      <c r="C3" s="13"/>
      <c r="D3" s="13"/>
      <c r="E3" s="13"/>
      <c r="F3" s="13"/>
      <c r="G3" s="13"/>
      <c r="H3" s="13" t="s">
        <v>58</v>
      </c>
      <c r="I3" s="13"/>
      <c r="J3" s="13"/>
      <c r="K3" s="13"/>
      <c r="L3" s="13"/>
      <c r="M3" s="13"/>
      <c r="N3" s="13"/>
    </row>
    <row r="4" ht="14.25" customHeight="1" spans="1:14">
      <c r="A4" s="14" t="s">
        <v>97</v>
      </c>
      <c r="B4" s="15" t="s">
        <v>98</v>
      </c>
      <c r="C4" s="15" t="s">
        <v>99</v>
      </c>
      <c r="D4" s="15" t="s">
        <v>100</v>
      </c>
      <c r="E4" s="15" t="s">
        <v>101</v>
      </c>
      <c r="F4" s="15" t="s">
        <v>102</v>
      </c>
      <c r="G4" s="16" t="s">
        <v>103</v>
      </c>
      <c r="H4" s="17" t="s">
        <v>97</v>
      </c>
      <c r="I4" s="43" t="s">
        <v>98</v>
      </c>
      <c r="J4" s="43" t="s">
        <v>104</v>
      </c>
      <c r="K4" s="43" t="s">
        <v>105</v>
      </c>
      <c r="L4" s="43" t="s">
        <v>106</v>
      </c>
      <c r="M4" s="43" t="s">
        <v>107</v>
      </c>
      <c r="N4" s="44" t="s">
        <v>108</v>
      </c>
    </row>
    <row r="5" ht="14.25" customHeight="1" spans="1:14">
      <c r="A5" s="18">
        <v>0</v>
      </c>
      <c r="B5" s="19">
        <f>Amortissement!B11</f>
        <v>10000000</v>
      </c>
      <c r="C5" s="20">
        <f>Paramètres!B13+0</f>
        <v>40</v>
      </c>
      <c r="D5" s="21">
        <f>VLOOKUP(C5,Tables_CIMA!$A$5:$D$65,2,FALSE())</f>
        <v>942539</v>
      </c>
      <c r="E5" s="21">
        <f>VLOOKUP(C5,Tables_CIMA!$A$5:$D$65,3,FALSE())</f>
        <v>3296</v>
      </c>
      <c r="F5" s="22">
        <f>(1/(1+Paramètres!$B$8))^(0+0.5)</f>
        <v>0.982946374365981</v>
      </c>
      <c r="G5" s="23">
        <f>IF(0&lt;Paramètres!$B$6,B5*E5*F5/VLOOKUP(Paramètres!$B$13,Tables_CIMA!$A$5:$D$65,2,FALSE()),0)</f>
        <v>34373.0206379818</v>
      </c>
      <c r="H5" s="18">
        <v>0</v>
      </c>
      <c r="I5" s="19">
        <f>Amortissement!B11</f>
        <v>10000000</v>
      </c>
      <c r="J5" s="20">
        <f>Paramètres!C13+0</f>
        <v>38</v>
      </c>
      <c r="K5" s="21">
        <f>VLOOKUP(J5,Tables_CIMA!$E$5:$H$65,2,FALSE())</f>
        <v>972069</v>
      </c>
      <c r="L5" s="21">
        <f>VLOOKUP(J5,Tables_CIMA!$E$5:$H$65,3,FALSE())</f>
        <v>1577</v>
      </c>
      <c r="M5" s="22">
        <f>(1/(1+Paramètres!$B$8))^(0+0.5)</f>
        <v>0.982946374365981</v>
      </c>
      <c r="N5" s="23">
        <f>IF(0&lt;Paramètres!$B$6,I5*L5*M5/VLOOKUP(Paramètres!$C$13,Tables_CIMA!$E$5:$H$65,2,FALSE()),0)</f>
        <v>15946.4650387488</v>
      </c>
    </row>
    <row r="6" ht="14.25" customHeight="1" spans="1:14">
      <c r="A6" s="24">
        <v>1</v>
      </c>
      <c r="B6" s="25">
        <f>Amortissement!B12</f>
        <v>9640215.29289027</v>
      </c>
      <c r="C6" s="26">
        <f>Paramètres!B13+1</f>
        <v>41</v>
      </c>
      <c r="D6" s="27">
        <f>VLOOKUP(C6,Tables_CIMA!$A$5:$D$65,2,FALSE())</f>
        <v>939243</v>
      </c>
      <c r="E6" s="27">
        <f>VLOOKUP(C6,Tables_CIMA!$A$5:$D$65,3,FALSE())</f>
        <v>3584</v>
      </c>
      <c r="F6" s="28">
        <f>(1/(1+Paramètres!$B$8))^(1+0.5)</f>
        <v>0.949706641899499</v>
      </c>
      <c r="G6" s="29">
        <f>IF(1&lt;Paramètres!$B$6,B6*E6*F6/VLOOKUP(Paramètres!$B$13,Tables_CIMA!$A$5:$D$65,2,FALSE()),0)</f>
        <v>34813.2749423721</v>
      </c>
      <c r="H6" s="24">
        <v>1</v>
      </c>
      <c r="I6" s="25">
        <f>Amortissement!B12</f>
        <v>9640215.29289027</v>
      </c>
      <c r="J6" s="26">
        <f>Paramètres!C13+1</f>
        <v>39</v>
      </c>
      <c r="K6" s="27">
        <f>VLOOKUP(J6,Tables_CIMA!$E$5:$H$65,2,FALSE())</f>
        <v>970492</v>
      </c>
      <c r="L6" s="27">
        <f>VLOOKUP(J6,Tables_CIMA!$E$5:$H$65,3,FALSE())</f>
        <v>1696</v>
      </c>
      <c r="M6" s="28">
        <f>(1/(1+Paramètres!$B$8))^(1+0.5)</f>
        <v>0.949706641899499</v>
      </c>
      <c r="N6" s="29">
        <f>IF(1&lt;Paramètres!$B$6,I6*L6*M6/VLOOKUP(Paramètres!$C$13,Tables_CIMA!$E$5:$H$65,2,FALSE()),0)</f>
        <v>15973.6793706273</v>
      </c>
    </row>
    <row r="7" ht="14.25" customHeight="1" spans="1:14">
      <c r="A7" s="18">
        <v>2</v>
      </c>
      <c r="B7" s="19">
        <f>Amortissement!B13</f>
        <v>9250568.63253355</v>
      </c>
      <c r="C7" s="20">
        <f>Paramètres!B13+2</f>
        <v>42</v>
      </c>
      <c r="D7" s="21">
        <f>VLOOKUP(C7,Tables_CIMA!$A$5:$D$65,2,FALSE())</f>
        <v>935659</v>
      </c>
      <c r="E7" s="21">
        <f>VLOOKUP(C7,Tables_CIMA!$A$5:$D$65,3,FALSE())</f>
        <v>3877</v>
      </c>
      <c r="F7" s="22">
        <f>(1/(1+Paramètres!$B$8))^(2+0.5)</f>
        <v>0.917590958357004</v>
      </c>
      <c r="G7" s="23">
        <f>IF(2&lt;Paramètres!$B$6,B7*E7*F7/VLOOKUP(Paramètres!$B$13,Tables_CIMA!$A$5:$D$65,2,FALSE()),0)</f>
        <v>34915.1592206363</v>
      </c>
      <c r="H7" s="18">
        <v>2</v>
      </c>
      <c r="I7" s="19">
        <f>Amortissement!B13</f>
        <v>9250568.63253355</v>
      </c>
      <c r="J7" s="20">
        <f>Paramètres!C13+2</f>
        <v>40</v>
      </c>
      <c r="K7" s="21">
        <f>VLOOKUP(J7,Tables_CIMA!$E$5:$H$65,2,FALSE())</f>
        <v>968796</v>
      </c>
      <c r="L7" s="21">
        <f>VLOOKUP(J7,Tables_CIMA!$E$5:$H$65,3,FALSE())</f>
        <v>1831</v>
      </c>
      <c r="M7" s="22">
        <f>(1/(1+Paramètres!$B$8))^(2+0.5)</f>
        <v>0.917590958357004</v>
      </c>
      <c r="N7" s="23">
        <f>IF(2&lt;Paramètres!$B$6,I7*L7*M7/VLOOKUP(Paramètres!$C$13,Tables_CIMA!$E$5:$H$65,2,FALSE()),0)</f>
        <v>15988.5399376132</v>
      </c>
    </row>
    <row r="8" ht="14.25" customHeight="1" spans="1:14">
      <c r="A8" s="24">
        <v>3</v>
      </c>
      <c r="B8" s="25">
        <f>Amortissement!B14</f>
        <v>8828581.49153803</v>
      </c>
      <c r="C8" s="26">
        <f>Paramètres!B13+3</f>
        <v>43</v>
      </c>
      <c r="D8" s="27">
        <f>VLOOKUP(C8,Tables_CIMA!$A$5:$D$65,2,FALSE())</f>
        <v>931782</v>
      </c>
      <c r="E8" s="27">
        <f>VLOOKUP(C8,Tables_CIMA!$A$5:$D$65,3,FALSE())</f>
        <v>4194</v>
      </c>
      <c r="F8" s="28">
        <f>(1/(1+Paramètres!$B$8))^(3+0.5)</f>
        <v>0.886561312422226</v>
      </c>
      <c r="G8" s="29">
        <f>IF(3&lt;Paramètres!$B$6,B8*E8*F8/VLOOKUP(Paramètres!$B$13,Tables_CIMA!$A$5:$D$65,2,FALSE()),0)</f>
        <v>34828.0213995254</v>
      </c>
      <c r="H8" s="24">
        <v>3</v>
      </c>
      <c r="I8" s="25">
        <f>Amortissement!B14</f>
        <v>8828581.49153803</v>
      </c>
      <c r="J8" s="26">
        <f>Paramètres!C13+3</f>
        <v>41</v>
      </c>
      <c r="K8" s="27">
        <f>VLOOKUP(J8,Tables_CIMA!$E$5:$H$65,2,FALSE())</f>
        <v>966965</v>
      </c>
      <c r="L8" s="27">
        <f>VLOOKUP(J8,Tables_CIMA!$E$5:$H$65,3,FALSE())</f>
        <v>1995</v>
      </c>
      <c r="M8" s="28">
        <f>(1/(1+Paramètres!$B$8))^(3+0.5)</f>
        <v>0.886561312422226</v>
      </c>
      <c r="N8" s="29">
        <f>IF(3&lt;Paramètres!$B$6,I8*L8*M8/VLOOKUP(Paramètres!$C$13,Tables_CIMA!$E$5:$H$65,2,FALSE()),0)</f>
        <v>16063.6973239135</v>
      </c>
    </row>
    <row r="9" ht="14.25" customHeight="1" spans="1:14">
      <c r="A9" s="18">
        <v>4</v>
      </c>
      <c r="B9" s="19">
        <f>Amortissement!B15</f>
        <v>8371569.62596077</v>
      </c>
      <c r="C9" s="20">
        <f>Paramètres!B13+4</f>
        <v>44</v>
      </c>
      <c r="D9" s="21">
        <f>VLOOKUP(C9,Tables_CIMA!$A$5:$D$65,2,FALSE())</f>
        <v>927588</v>
      </c>
      <c r="E9" s="21">
        <f>VLOOKUP(C9,Tables_CIMA!$A$5:$D$65,3,FALSE())</f>
        <v>4523</v>
      </c>
      <c r="F9" s="22">
        <f>(1/(1+Paramètres!$B$8))^(4+0.5)</f>
        <v>0.856580978185725</v>
      </c>
      <c r="G9" s="23">
        <f>IF(4&lt;Paramètres!$B$6,B9*E9*F9/VLOOKUP(Paramètres!$B$13,Tables_CIMA!$A$5:$D$65,2,FALSE()),0)</f>
        <v>34411.4187042444</v>
      </c>
      <c r="H9" s="18">
        <v>4</v>
      </c>
      <c r="I9" s="19">
        <f>Amortissement!B15</f>
        <v>8371569.62596077</v>
      </c>
      <c r="J9" s="20">
        <f>Paramètres!C13+4</f>
        <v>42</v>
      </c>
      <c r="K9" s="21">
        <f>VLOOKUP(J9,Tables_CIMA!$E$5:$H$65,2,FALSE())</f>
        <v>964970</v>
      </c>
      <c r="L9" s="21">
        <f>VLOOKUP(J9,Tables_CIMA!$E$5:$H$65,3,FALSE())</f>
        <v>2162</v>
      </c>
      <c r="M9" s="22">
        <f>(1/(1+Paramètres!$B$8))^(4+0.5)</f>
        <v>0.856580978185725</v>
      </c>
      <c r="N9" s="23">
        <f>IF(4&lt;Paramètres!$B$6,I9*L9*M9/VLOOKUP(Paramètres!$C$13,Tables_CIMA!$E$5:$H$65,2,FALSE()),0)</f>
        <v>15949.0168092738</v>
      </c>
    </row>
    <row r="10" ht="14.25" customHeight="1" spans="1:14">
      <c r="A10" s="24">
        <v>5</v>
      </c>
      <c r="B10" s="25">
        <f>Amortissement!B16</f>
        <v>7876626.00093542</v>
      </c>
      <c r="C10" s="26">
        <f>Paramètres!B13+5</f>
        <v>45</v>
      </c>
      <c r="D10" s="27">
        <f>VLOOKUP(C10,Tables_CIMA!$A$5:$D$65,2,FALSE())</f>
        <v>923065</v>
      </c>
      <c r="E10" s="27">
        <f>VLOOKUP(C10,Tables_CIMA!$A$5:$D$65,3,FALSE())</f>
        <v>4866</v>
      </c>
      <c r="F10" s="28">
        <f>(1/(1+Paramètres!$B$8))^(5+0.5)</f>
        <v>0.827614471677029</v>
      </c>
      <c r="G10" s="29">
        <f>IF(5&lt;Paramètres!$B$6,B10*E10*F10/VLOOKUP(Paramètres!$B$13,Tables_CIMA!$A$5:$D$65,2,FALSE()),0)</f>
        <v>33654.3398591635</v>
      </c>
      <c r="H10" s="24">
        <v>5</v>
      </c>
      <c r="I10" s="25">
        <f>Amortissement!B16</f>
        <v>7876626.00093542</v>
      </c>
      <c r="J10" s="26">
        <f>Paramètres!C13+5</f>
        <v>43</v>
      </c>
      <c r="K10" s="27">
        <f>VLOOKUP(J10,Tables_CIMA!$E$5:$H$65,2,FALSE())</f>
        <v>962808</v>
      </c>
      <c r="L10" s="27">
        <f>VLOOKUP(J10,Tables_CIMA!$E$5:$H$65,3,FALSE())</f>
        <v>2344</v>
      </c>
      <c r="M10" s="28">
        <f>(1/(1+Paramètres!$B$8))^(5+0.5)</f>
        <v>0.827614471677029</v>
      </c>
      <c r="N10" s="29">
        <f>IF(5&lt;Paramètres!$B$6,I10*L10*M10/VLOOKUP(Paramètres!$C$13,Tables_CIMA!$E$5:$H$65,2,FALSE()),0)</f>
        <v>15719.141190545</v>
      </c>
    </row>
    <row r="11" ht="14.25" customHeight="1" spans="1:14">
      <c r="A11" s="18">
        <v>6</v>
      </c>
      <c r="B11" s="19">
        <f>Amortissement!B17</f>
        <v>7340602.29913544</v>
      </c>
      <c r="C11" s="20">
        <f>Paramètres!B13+6</f>
        <v>46</v>
      </c>
      <c r="D11" s="21">
        <f>VLOOKUP(C11,Tables_CIMA!$A$5:$D$65,2,FALSE())</f>
        <v>918199</v>
      </c>
      <c r="E11" s="21">
        <f>VLOOKUP(C11,Tables_CIMA!$A$5:$D$65,3,FALSE())</f>
        <v>5200</v>
      </c>
      <c r="F11" s="22">
        <f>(1/(1+Paramètres!$B$8))^(6+0.5)</f>
        <v>0.799627508866695</v>
      </c>
      <c r="G11" s="23">
        <f>IF(6&lt;Paramètres!$B$6,B11*E11*F11/VLOOKUP(Paramètres!$B$13,Tables_CIMA!$A$5:$D$65,2,FALSE()),0)</f>
        <v>32383.4739530161</v>
      </c>
      <c r="H11" s="18">
        <v>6</v>
      </c>
      <c r="I11" s="19">
        <f>Amortissement!B17</f>
        <v>7340602.29913544</v>
      </c>
      <c r="J11" s="20">
        <f>Paramètres!C13+6</f>
        <v>44</v>
      </c>
      <c r="K11" s="21">
        <f>VLOOKUP(J11,Tables_CIMA!$E$5:$H$65,2,FALSE())</f>
        <v>960464</v>
      </c>
      <c r="L11" s="21">
        <f>VLOOKUP(J11,Tables_CIMA!$E$5:$H$65,3,FALSE())</f>
        <v>2534</v>
      </c>
      <c r="M11" s="22">
        <f>(1/(1+Paramètres!$B$8))^(6+0.5)</f>
        <v>0.799627508866695</v>
      </c>
      <c r="N11" s="23">
        <f>IF(6&lt;Paramètres!$B$6,I11*L11*M11/VLOOKUP(Paramètres!$C$13,Tables_CIMA!$E$5:$H$65,2,FALSE()),0)</f>
        <v>15301.3214505538</v>
      </c>
    </row>
    <row r="12" ht="14.25" customHeight="1" spans="1:14">
      <c r="A12" s="24">
        <v>7</v>
      </c>
      <c r="B12" s="25">
        <f>Amortissement!B18</f>
        <v>6760088.89444893</v>
      </c>
      <c r="C12" s="26">
        <f>Paramètres!B13+7</f>
        <v>47</v>
      </c>
      <c r="D12" s="27">
        <f>VLOOKUP(C12,Tables_CIMA!$A$5:$D$65,2,FALSE())</f>
        <v>912999</v>
      </c>
      <c r="E12" s="27">
        <f>VLOOKUP(C12,Tables_CIMA!$A$5:$D$65,3,FALSE())</f>
        <v>5515</v>
      </c>
      <c r="F12" s="28">
        <f>(1/(1+Paramètres!$B$8))^(7+0.5)</f>
        <v>0.772586965088594</v>
      </c>
      <c r="G12" s="29">
        <f>IF(7&lt;Paramètres!$B$6,B12*E12*F12/VLOOKUP(Paramètres!$B$13,Tables_CIMA!$A$5:$D$65,2,FALSE()),0)</f>
        <v>30559.480767632</v>
      </c>
      <c r="H12" s="24">
        <v>7</v>
      </c>
      <c r="I12" s="25">
        <f>Amortissement!B18</f>
        <v>6760088.89444893</v>
      </c>
      <c r="J12" s="26">
        <f>Paramètres!C13+7</f>
        <v>45</v>
      </c>
      <c r="K12" s="27">
        <f>VLOOKUP(J12,Tables_CIMA!$E$5:$H$65,2,FALSE())</f>
        <v>957930</v>
      </c>
      <c r="L12" s="27">
        <f>VLOOKUP(J12,Tables_CIMA!$E$5:$H$65,3,FALSE())</f>
        <v>2733</v>
      </c>
      <c r="M12" s="28">
        <f>(1/(1+Paramètres!$B$8))^(7+0.5)</f>
        <v>0.772586965088594</v>
      </c>
      <c r="N12" s="29">
        <f>IF(7&lt;Paramètres!$B$6,I12*L12*M12/VLOOKUP(Paramètres!$C$13,Tables_CIMA!$E$5:$H$65,2,FALSE()),0)</f>
        <v>14683.9305500285</v>
      </c>
    </row>
    <row r="13" ht="14.25" customHeight="1" spans="1:14">
      <c r="A13" s="18">
        <v>8</v>
      </c>
      <c r="B13" s="19">
        <f>Amortissement!B19</f>
        <v>6131393.16347829</v>
      </c>
      <c r="C13" s="20">
        <f>Paramètres!B13+8</f>
        <v>48</v>
      </c>
      <c r="D13" s="21">
        <f>VLOOKUP(C13,Tables_CIMA!$A$5:$D$65,2,FALSE())</f>
        <v>907484</v>
      </c>
      <c r="E13" s="21">
        <f>VLOOKUP(C13,Tables_CIMA!$A$5:$D$65,3,FALSE())</f>
        <v>5815</v>
      </c>
      <c r="F13" s="22">
        <f>(1/(1+Paramètres!$B$8))^(8+0.5)</f>
        <v>0.746460835834391</v>
      </c>
      <c r="G13" s="23">
        <f>IF(8&lt;Paramètres!$B$6,B13*E13*F13/VLOOKUP(Paramètres!$B$13,Tables_CIMA!$A$5:$D$65,2,FALSE()),0)</f>
        <v>28236.8717832285</v>
      </c>
      <c r="H13" s="18">
        <v>8</v>
      </c>
      <c r="I13" s="19">
        <f>Amortissement!B19</f>
        <v>6131393.16347829</v>
      </c>
      <c r="J13" s="20">
        <f>Paramètres!C13+8</f>
        <v>46</v>
      </c>
      <c r="K13" s="21">
        <f>VLOOKUP(J13,Tables_CIMA!$E$5:$H$65,2,FALSE())</f>
        <v>955197</v>
      </c>
      <c r="L13" s="21">
        <f>VLOOKUP(J13,Tables_CIMA!$E$5:$H$65,3,FALSE())</f>
        <v>2929</v>
      </c>
      <c r="M13" s="22">
        <f>(1/(1+Paramètres!$B$8))^(8+0.5)</f>
        <v>0.746460835834391</v>
      </c>
      <c r="N13" s="23">
        <f>IF(8&lt;Paramètres!$B$6,I13*L13*M13/VLOOKUP(Paramètres!$C$13,Tables_CIMA!$E$5:$H$65,2,FALSE()),0)</f>
        <v>13790.7685683397</v>
      </c>
    </row>
    <row r="14" ht="14.25" customHeight="1" spans="1:14">
      <c r="A14" s="24">
        <v>9</v>
      </c>
      <c r="B14" s="25">
        <f>Amortissement!B20</f>
        <v>5450515.9969051</v>
      </c>
      <c r="C14" s="26">
        <f>Paramètres!B13+9</f>
        <v>49</v>
      </c>
      <c r="D14" s="27">
        <f>VLOOKUP(C14,Tables_CIMA!$A$5:$D$65,2,FALSE())</f>
        <v>901669</v>
      </c>
      <c r="E14" s="27">
        <f>VLOOKUP(C14,Tables_CIMA!$A$5:$D$65,3,FALSE())</f>
        <v>6108</v>
      </c>
      <c r="F14" s="28">
        <f>(1/(1+Paramètres!$B$8))^(9+0.5)</f>
        <v>0.721218198873808</v>
      </c>
      <c r="G14" s="29">
        <f>IF(9&lt;Paramètres!$B$6,B14*E14*F14/VLOOKUP(Paramètres!$B$13,Tables_CIMA!$A$5:$D$65,2,FALSE()),0)</f>
        <v>25474.4018072339</v>
      </c>
      <c r="H14" s="24">
        <v>9</v>
      </c>
      <c r="I14" s="25">
        <f>Amortissement!B20</f>
        <v>5450515.9969051</v>
      </c>
      <c r="J14" s="26">
        <f>Paramètres!C13+9</f>
        <v>47</v>
      </c>
      <c r="K14" s="27">
        <f>VLOOKUP(J14,Tables_CIMA!$E$5:$H$65,2,FALSE())</f>
        <v>952268</v>
      </c>
      <c r="L14" s="27">
        <f>VLOOKUP(J14,Tables_CIMA!$E$5:$H$65,3,FALSE())</f>
        <v>3115</v>
      </c>
      <c r="M14" s="28">
        <f>(1/(1+Paramètres!$B$8))^(9+0.5)</f>
        <v>0.721218198873808</v>
      </c>
      <c r="N14" s="29">
        <f>IF(9&lt;Paramètres!$B$6,I14*L14*M14/VLOOKUP(Paramètres!$C$13,Tables_CIMA!$E$5:$H$65,2,FALSE()),0)</f>
        <v>12596.9455806509</v>
      </c>
    </row>
    <row r="15" ht="14.25" customHeight="1" spans="1:14">
      <c r="A15" s="18">
        <v>10</v>
      </c>
      <c r="B15" s="19">
        <f>Amortissement!B21</f>
        <v>4713126.36130984</v>
      </c>
      <c r="C15" s="20">
        <f>Paramètres!B13+10</f>
        <v>50</v>
      </c>
      <c r="D15" s="21">
        <f>VLOOKUP(C15,Tables_CIMA!$A$5:$D$65,2,FALSE())</f>
        <v>895561</v>
      </c>
      <c r="E15" s="21">
        <f>VLOOKUP(C15,Tables_CIMA!$A$5:$D$65,3,FALSE())</f>
        <v>6395</v>
      </c>
      <c r="F15" s="22">
        <f>(1/(1+Paramètres!$B$8))^(10+0.5)</f>
        <v>0.696829177655853</v>
      </c>
      <c r="G15" s="23">
        <f>IF(10&lt;Paramètres!$B$6,B15*E15*F15/VLOOKUP(Paramètres!$B$13,Tables_CIMA!$A$5:$D$65,2,FALSE()),0)</f>
        <v>22283.1523852287</v>
      </c>
      <c r="H15" s="18">
        <v>10</v>
      </c>
      <c r="I15" s="19">
        <f>Amortissement!B21</f>
        <v>4713126.36130984</v>
      </c>
      <c r="J15" s="20">
        <f>Paramètres!C13+10</f>
        <v>48</v>
      </c>
      <c r="K15" s="21">
        <f>VLOOKUP(J15,Tables_CIMA!$E$5:$H$65,2,FALSE())</f>
        <v>949153</v>
      </c>
      <c r="L15" s="21">
        <f>VLOOKUP(J15,Tables_CIMA!$E$5:$H$65,3,FALSE())</f>
        <v>3294</v>
      </c>
      <c r="M15" s="22">
        <f>(1/(1+Paramètres!$B$8))^(10+0.5)</f>
        <v>0.696829177655853</v>
      </c>
      <c r="N15" s="23">
        <f>IF(10&lt;Paramètres!$B$6,I15*L15*M15/VLOOKUP(Paramètres!$C$13,Tables_CIMA!$E$5:$H$65,2,FALSE()),0)</f>
        <v>11129.1478545058</v>
      </c>
    </row>
    <row r="16" ht="14.25" customHeight="1" spans="1:14">
      <c r="A16" s="24">
        <v>11</v>
      </c>
      <c r="B16" s="25">
        <f>Amortissement!B22</f>
        <v>3914533.74963521</v>
      </c>
      <c r="C16" s="26">
        <f>Paramètres!B13+11</f>
        <v>51</v>
      </c>
      <c r="D16" s="27">
        <f>VLOOKUP(C16,Tables_CIMA!$A$5:$D$65,2,FALSE())</f>
        <v>889166</v>
      </c>
      <c r="E16" s="27">
        <f>VLOOKUP(C16,Tables_CIMA!$A$5:$D$65,3,FALSE())</f>
        <v>6704</v>
      </c>
      <c r="F16" s="28">
        <f>(1/(1+Paramètres!$B$8))^(11+0.5)</f>
        <v>0.673264905947684</v>
      </c>
      <c r="G16" s="29">
        <f>IF(11&lt;Paramètres!$B$6,B16*E16*F16/VLOOKUP(Paramètres!$B$13,Tables_CIMA!$A$5:$D$65,2,FALSE()),0)</f>
        <v>18745.6582605009</v>
      </c>
      <c r="H16" s="24">
        <v>11</v>
      </c>
      <c r="I16" s="25">
        <f>Amortissement!B22</f>
        <v>3914533.74963521</v>
      </c>
      <c r="J16" s="26">
        <f>Paramètres!C13+11</f>
        <v>49</v>
      </c>
      <c r="K16" s="27">
        <f>VLOOKUP(J16,Tables_CIMA!$E$5:$H$65,2,FALSE())</f>
        <v>945859</v>
      </c>
      <c r="L16" s="27">
        <f>VLOOKUP(J16,Tables_CIMA!$E$5:$H$65,3,FALSE())</f>
        <v>3472</v>
      </c>
      <c r="M16" s="28">
        <f>(1/(1+Paramètres!$B$8))^(11+0.5)</f>
        <v>0.673264905947684</v>
      </c>
      <c r="N16" s="29">
        <f>IF(11&lt;Paramètres!$B$6,I16*L16*M16/VLOOKUP(Paramètres!$C$13,Tables_CIMA!$E$5:$H$65,2,FALSE()),0)</f>
        <v>9413.44614344288</v>
      </c>
    </row>
    <row r="17" ht="14.25" customHeight="1" spans="1:14">
      <c r="A17" s="18">
        <v>12</v>
      </c>
      <c r="B17" s="19">
        <f>Amortissement!B23</f>
        <v>3049658.34505146</v>
      </c>
      <c r="C17" s="20">
        <f>Paramètres!B13+12</f>
        <v>52</v>
      </c>
      <c r="D17" s="21">
        <f>VLOOKUP(C17,Tables_CIMA!$A$5:$D$65,2,FALSE())</f>
        <v>882462</v>
      </c>
      <c r="E17" s="21">
        <f>VLOOKUP(C17,Tables_CIMA!$A$5:$D$65,3,FALSE())</f>
        <v>7027</v>
      </c>
      <c r="F17" s="22">
        <f>(1/(1+Paramètres!$B$8))^(12+0.5)</f>
        <v>0.65049749366926</v>
      </c>
      <c r="G17" s="23">
        <f>IF(12&lt;Paramètres!$B$6,B17*E17*F17/VLOOKUP(Paramètres!$B$13,Tables_CIMA!$A$5:$D$65,2,FALSE()),0)</f>
        <v>14789.9749909497</v>
      </c>
      <c r="H17" s="18">
        <v>12</v>
      </c>
      <c r="I17" s="19">
        <f>Amortissement!B23</f>
        <v>3049658.34505146</v>
      </c>
      <c r="J17" s="20">
        <f>Paramètres!C13+12</f>
        <v>50</v>
      </c>
      <c r="K17" s="21">
        <f>VLOOKUP(J17,Tables_CIMA!$E$5:$H$65,2,FALSE())</f>
        <v>942387</v>
      </c>
      <c r="L17" s="21">
        <f>VLOOKUP(J17,Tables_CIMA!$E$5:$H$65,3,FALSE())</f>
        <v>3647</v>
      </c>
      <c r="M17" s="22">
        <f>(1/(1+Paramètres!$B$8))^(12+0.5)</f>
        <v>0.65049749366926</v>
      </c>
      <c r="N17" s="23">
        <f>IF(12&lt;Paramètres!$B$6,I17*L17*M17/VLOOKUP(Paramètres!$C$13,Tables_CIMA!$E$5:$H$65,2,FALSE()),0)</f>
        <v>7442.78519959264</v>
      </c>
    </row>
    <row r="18" ht="14.25" customHeight="1" spans="1:14">
      <c r="A18" s="24">
        <v>13</v>
      </c>
      <c r="B18" s="25">
        <f>Amortissement!B24</f>
        <v>2112998.70843731</v>
      </c>
      <c r="C18" s="26">
        <f>Paramètres!B13+13</f>
        <v>53</v>
      </c>
      <c r="D18" s="27">
        <f>VLOOKUP(C18,Tables_CIMA!$A$5:$D$65,2,FALSE())</f>
        <v>875435</v>
      </c>
      <c r="E18" s="27">
        <f>VLOOKUP(C18,Tables_CIMA!$A$5:$D$65,3,FALSE())</f>
        <v>7359</v>
      </c>
      <c r="F18" s="28">
        <f>(1/(1+Paramètres!$B$8))^(13+0.5)</f>
        <v>0.628499993883343</v>
      </c>
      <c r="G18" s="29">
        <f>IF(13&lt;Paramètres!$B$6,B18*E18*F18/VLOOKUP(Paramètres!$B$13,Tables_CIMA!$A$5:$D$65,2,FALSE()),0)</f>
        <v>10368.6922140531</v>
      </c>
      <c r="H18" s="24">
        <v>13</v>
      </c>
      <c r="I18" s="25">
        <f>Amortissement!B24</f>
        <v>2112998.70843731</v>
      </c>
      <c r="J18" s="26">
        <f>Paramètres!C13+13</f>
        <v>51</v>
      </c>
      <c r="K18" s="27">
        <f>VLOOKUP(J18,Tables_CIMA!$E$5:$H$65,2,FALSE())</f>
        <v>938740</v>
      </c>
      <c r="L18" s="27">
        <f>VLOOKUP(J18,Tables_CIMA!$E$5:$H$65,3,FALSE())</f>
        <v>3837</v>
      </c>
      <c r="M18" s="28">
        <f>(1/(1+Paramètres!$B$8))^(13+0.5)</f>
        <v>0.628499993883343</v>
      </c>
      <c r="N18" s="29">
        <f>IF(13&lt;Paramètres!$B$6,I18*L18*M18/VLOOKUP(Paramètres!$C$13,Tables_CIMA!$E$5:$H$65,2,FALSE()),0)</f>
        <v>5242.0265374525</v>
      </c>
    </row>
    <row r="19" ht="14.25" customHeight="1" spans="1:14">
      <c r="A19" s="18">
        <v>14</v>
      </c>
      <c r="B19" s="19">
        <f>Amortissement!B25</f>
        <v>1098596.78393768</v>
      </c>
      <c r="C19" s="20">
        <f>Paramètres!B13+14</f>
        <v>54</v>
      </c>
      <c r="D19" s="21">
        <f>VLOOKUP(C19,Tables_CIMA!$A$5:$D$65,2,FALSE())</f>
        <v>868076</v>
      </c>
      <c r="E19" s="21">
        <f>VLOOKUP(C19,Tables_CIMA!$A$5:$D$65,3,FALSE())</f>
        <v>7711</v>
      </c>
      <c r="F19" s="22">
        <f>(1/(1+Paramètres!$B$8))^(14+0.5)</f>
        <v>0.607246370901781</v>
      </c>
      <c r="G19" s="23">
        <f>IF(14&lt;Paramètres!$B$6,B19*E19*F19/VLOOKUP(Paramètres!$B$13,Tables_CIMA!$A$5:$D$65,2,FALSE()),0)</f>
        <v>5457.76240136108</v>
      </c>
      <c r="H19" s="18">
        <v>14</v>
      </c>
      <c r="I19" s="19">
        <f>Amortissement!B25</f>
        <v>1098596.78393768</v>
      </c>
      <c r="J19" s="20">
        <f>Paramètres!C13+14</f>
        <v>52</v>
      </c>
      <c r="K19" s="21">
        <f>VLOOKUP(J19,Tables_CIMA!$E$5:$H$65,2,FALSE())</f>
        <v>934903</v>
      </c>
      <c r="L19" s="21">
        <f>VLOOKUP(J19,Tables_CIMA!$E$5:$H$65,3,FALSE())</f>
        <v>4035</v>
      </c>
      <c r="M19" s="22">
        <f>(1/(1+Paramètres!$B$8))^(14+0.5)</f>
        <v>0.607246370901781</v>
      </c>
      <c r="N19" s="23">
        <f>IF(14&lt;Paramètres!$B$6,I19*L19*M19/VLOOKUP(Paramètres!$C$13,Tables_CIMA!$E$5:$H$65,2,FALSE()),0)</f>
        <v>2769.17050371596</v>
      </c>
    </row>
    <row r="20" ht="14.25" customHeight="1" spans="1:14">
      <c r="A20" s="30"/>
      <c r="G20" s="31"/>
      <c r="H20" s="30"/>
      <c r="N20" s="31"/>
    </row>
    <row r="21" ht="14.25" customHeight="1" spans="1:14">
      <c r="A21" s="32" t="s">
        <v>109</v>
      </c>
      <c r="G21" s="33">
        <f>SUM(G5:G20)</f>
        <v>395294.703327127</v>
      </c>
      <c r="H21" s="30"/>
      <c r="N21" s="33">
        <f>SUM(N5:N20)</f>
        <v>188010.082059004</v>
      </c>
    </row>
    <row r="22" ht="14.25" customHeight="1" spans="1:14">
      <c r="A22" s="30"/>
      <c r="G22" s="31"/>
      <c r="H22" s="30"/>
      <c r="N22" s="31"/>
    </row>
    <row r="23" ht="14.25" customHeight="1" spans="1:14">
      <c r="A23" s="34" t="s">
        <v>110</v>
      </c>
      <c r="G23" s="35">
        <f>Paramètres!B14*G21</f>
        <v>276706.292328989</v>
      </c>
      <c r="H23" s="34" t="s">
        <v>111</v>
      </c>
      <c r="N23" s="35">
        <f>Paramètres!C14*N21</f>
        <v>56403.0246177013</v>
      </c>
    </row>
    <row r="24" ht="14.25" customHeight="1" spans="1:14">
      <c r="A24" s="34" t="s">
        <v>112</v>
      </c>
      <c r="G24" s="36">
        <f>G23+N23</f>
        <v>333109.31694669</v>
      </c>
      <c r="H24" s="30"/>
      <c r="N24" s="31"/>
    </row>
    <row r="25" ht="14.25" customHeight="1" spans="1:14">
      <c r="A25" s="30"/>
      <c r="G25" s="31"/>
      <c r="H25" s="30"/>
      <c r="N25" s="31"/>
    </row>
    <row r="26" ht="14.25" customHeight="1" spans="1:14">
      <c r="A26" s="34" t="s">
        <v>113</v>
      </c>
      <c r="G26" s="37">
        <f>(VLOOKUP(Paramètres!B13,Commutation!$A$5:$E$65,5,FALSE())-VLOOKUP(Paramètres!B13+Paramètres!B6,Commutation!$A$5:$E$65,5,FALSE()))/VLOOKUP(Paramètres!B13,Commutation!$A$5:$E$65,2,FALSE())</f>
        <v>11.5524825003697</v>
      </c>
      <c r="H26" s="34" t="s">
        <v>114</v>
      </c>
      <c r="N26" s="37">
        <f>(VLOOKUP(Paramètres!C13,Commutation!$F$5:$J$65,5,FALSE())-VLOOKUP(Paramètres!C13+Paramètres!B6,Commutation!$F$5:$J$65,5,FALSE()))/VLOOKUP(Paramètres!C13,Commutation!$F$5:$J$65,2,FALSE())</f>
        <v>11.7464854192019</v>
      </c>
    </row>
    <row r="27" ht="14.25" customHeight="1" spans="1:14">
      <c r="A27" s="34" t="s">
        <v>115</v>
      </c>
      <c r="G27" s="38">
        <f>G23/G26</f>
        <v>23952.1065987448</v>
      </c>
      <c r="H27" s="34" t="s">
        <v>116</v>
      </c>
      <c r="N27" s="38">
        <f>N23/N26</f>
        <v>4801.69366451515</v>
      </c>
    </row>
    <row r="28" ht="14.25" customHeight="1" spans="1:14">
      <c r="A28" s="34" t="s">
        <v>117</v>
      </c>
      <c r="G28" s="38">
        <f>(1+Paramètres!B17)*G27</f>
        <v>26347.3172586193</v>
      </c>
      <c r="H28" s="34" t="s">
        <v>117</v>
      </c>
      <c r="N28" s="38">
        <f>(1+Paramètres!B17)*N27</f>
        <v>5281.86303096666</v>
      </c>
    </row>
    <row r="29" ht="14.25" customHeight="1" spans="1:14">
      <c r="A29" s="34" t="s">
        <v>118</v>
      </c>
      <c r="G29" s="36">
        <f>G28/(1-Paramètres!B18)</f>
        <v>35129.7563448257</v>
      </c>
      <c r="H29" s="34" t="s">
        <v>118</v>
      </c>
      <c r="N29" s="36">
        <f>N28/(1-Paramètres!B18)</f>
        <v>7042.48404128888</v>
      </c>
    </row>
    <row r="30" ht="14.25" customHeight="1" spans="1:14">
      <c r="A30" s="34" t="s">
        <v>119</v>
      </c>
      <c r="G30" s="36">
        <f>G29+N29</f>
        <v>42172.2403861146</v>
      </c>
      <c r="H30" s="30"/>
      <c r="N30" s="31"/>
    </row>
    <row r="31" ht="14.25" customHeight="1" spans="1:14">
      <c r="A31" s="34" t="s">
        <v>120</v>
      </c>
      <c r="G31" s="36">
        <f>G30/12</f>
        <v>3514.35336550955</v>
      </c>
      <c r="H31" s="30"/>
      <c r="N31" s="31"/>
    </row>
    <row r="32" ht="14.25" customHeight="1" spans="1:14">
      <c r="A32" s="39" t="s">
        <v>121</v>
      </c>
      <c r="B32" s="40"/>
      <c r="C32" s="40"/>
      <c r="D32" s="40"/>
      <c r="E32" s="40"/>
      <c r="F32" s="40"/>
      <c r="G32" s="41">
        <f>G30/Paramètres!B5</f>
        <v>0.00421722403861146</v>
      </c>
      <c r="H32" s="42"/>
      <c r="I32" s="40"/>
      <c r="J32" s="40"/>
      <c r="K32" s="40"/>
      <c r="L32" s="40"/>
      <c r="M32" s="40"/>
      <c r="N32" s="45"/>
    </row>
  </sheetData>
  <mergeCells count="4">
    <mergeCell ref="A1:L1"/>
    <mergeCell ref="A2:L2"/>
    <mergeCell ref="A3:G3"/>
    <mergeCell ref="H3:N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63" zoomScaleNormal="63" workbookViewId="0">
      <selection activeCell="E28" sqref="E28"/>
    </sheetView>
  </sheetViews>
  <sheetFormatPr defaultColWidth="8.69090909090909" defaultRowHeight="14.5" outlineLevelCol="7"/>
  <cols>
    <col min="1" max="1" width="10" style="1" customWidth="1"/>
    <col min="2" max="8" width="19" style="1" customWidth="1"/>
  </cols>
  <sheetData>
    <row r="1" ht="15" customHeight="1" spans="1:8">
      <c r="A1" s="2" t="s">
        <v>122</v>
      </c>
      <c r="B1" s="2"/>
      <c r="C1" s="2"/>
      <c r="D1" s="2"/>
      <c r="E1" s="2"/>
      <c r="F1" s="2"/>
      <c r="G1" s="2"/>
      <c r="H1" s="2"/>
    </row>
    <row r="2" ht="30" customHeight="1" spans="1:8">
      <c r="A2" s="3"/>
      <c r="B2" s="3"/>
      <c r="C2" s="3"/>
      <c r="D2" s="3"/>
      <c r="E2" s="3"/>
      <c r="F2" s="3"/>
      <c r="G2" s="3"/>
      <c r="H2" s="3"/>
    </row>
    <row r="4" ht="27.75" customHeight="1" spans="1:8">
      <c r="A4" s="4" t="s">
        <v>6</v>
      </c>
      <c r="B4" s="4" t="s">
        <v>123</v>
      </c>
      <c r="C4" s="4" t="s">
        <v>123</v>
      </c>
      <c r="D4" s="4" t="s">
        <v>124</v>
      </c>
      <c r="E4" s="4" t="s">
        <v>125</v>
      </c>
      <c r="F4" s="4" t="s">
        <v>126</v>
      </c>
      <c r="G4" s="4" t="s">
        <v>125</v>
      </c>
      <c r="H4" s="4" t="s">
        <v>127</v>
      </c>
    </row>
    <row r="5" ht="14.25" customHeight="1" spans="1:8">
      <c r="A5" s="5">
        <v>0</v>
      </c>
      <c r="B5" s="6">
        <f>(Paramètres!$B$14/VLOOKUP(Paramètres!$B$13+0,Tables_CIMA!$A$5:$D$65,2,FALSE()))*SUMPRODUCT((Calcul_PP!$A$5:$A$19&gt;=0)*(Calcul_PP!$A$5:$A$19&lt;Paramètres!$B$6)*Calcul_PP!$B$5:$B$19*Calcul_PP!$E$5:$E$19*POWER(1/(1+Paramètres!$B$8),Calcul_PP!$A$5:$A$19-0+0.5))-Tarification!$B$23*(VLOOKUP(Paramètres!$B$13+0,Commutation!$A$5:$E$65,5,FALSE())-VLOOKUP(Paramètres!$B$13+Paramètres!$B$6,Commutation!$A$5:$E$65,5,FALSE()))/VLOOKUP(Paramètres!$B$13+0,Commutation!$A$5:$E$65,2,FALSE())</f>
        <v>0</v>
      </c>
      <c r="C5" s="6">
        <f>(Paramètres!$C$14/VLOOKUP(Paramètres!$C$13+0,Tables_CIMA!$E$5:$H$65,2,FALSE()))*SUMPRODUCT((Calcul_PP!$A$5:$A$19&gt;=0)*(Calcul_PP!$A$5:$A$19&lt;Paramètres!$B$6)*Calcul_PP!$B$5:$B$19*Calcul_PP!$L$5:$L$19*POWER(1/(1+Paramètres!$B$8),Calcul_PP!$A$5:$A$19-0+0.5))-Tarification!$C$23*(VLOOKUP(Paramètres!$C$13+0,Commutation!$F$5:$J$65,5,FALSE())-VLOOKUP(Paramètres!$C$13+Paramètres!$B$6,Commutation!$F$5:$J$65,5,FALSE()))/VLOOKUP(Paramètres!$C$13+0,Commutation!$F$5:$J$65,2,FALSE())</f>
        <v>0</v>
      </c>
      <c r="D5" s="6">
        <f t="shared" ref="D5:D19" si="0">B5+C5</f>
        <v>0</v>
      </c>
      <c r="E5" s="6">
        <f>Tarification!B23</f>
        <v>23952.1065987448</v>
      </c>
      <c r="F5" s="7">
        <f>(B5+Tarification!$B$23)*(1+Paramètres!$B$8)-Paramètres!$B$14*VLOOKUP(0,Calcul_PP!$A$5:$B$19,2,FALSE())*VLOOKUP(Paramètres!$B$13+0,Tables_CIMA!$A$5:$D$65,4,FALSE())*SQRT(1+Paramètres!$B$8)-(1-VLOOKUP(Paramètres!$B$13+0,Tables_CIMA!$A$5:$D$65,4,FALSE()))*B6</f>
        <v>6.74731381877791e-11</v>
      </c>
      <c r="G5" s="6">
        <f>Tarification!C23</f>
        <v>4801.69366451515</v>
      </c>
      <c r="H5" s="7">
        <f>(C5+Tarification!$C$23)*(1+Paramètres!$B$8)-Paramètres!$C$14*VLOOKUP(0,Calcul_PP!$A$5:$B$19,2,FALSE())*VLOOKUP(Paramètres!$C$13+0,Tables_CIMA!$E$5:$H$65,4,FALSE())*SQRT(1+Paramètres!$B$8)-(1-VLOOKUP(Paramètres!$C$13+0,Tables_CIMA!$E$5:$H$65,4,FALSE()))*C6</f>
        <v>3.97584187794564e-11</v>
      </c>
    </row>
    <row r="6" ht="14.25" customHeight="1" spans="1:8">
      <c r="A6" s="8">
        <v>1</v>
      </c>
      <c r="B6" s="9">
        <f>(Paramètres!$B$14/VLOOKUP(Paramètres!$B$13+1,Tables_CIMA!$A$5:$D$65,2,FALSE()))*SUMPRODUCT((Calcul_PP!$A$5:$A$19&gt;=1)*(Calcul_PP!$A$5:$A$19&lt;Paramètres!$B$6)*Calcul_PP!$B$5:$B$19*Calcul_PP!$E$5:$E$19*POWER(1/(1+Paramètres!$B$8),Calcul_PP!$A$5:$A$19-1+0.5))-Tarification!$B$23*(VLOOKUP(Paramètres!$B$13+1,Commutation!$A$5:$E$65,5,FALSE())-VLOOKUP(Paramètres!$B$13+Paramètres!$B$6,Commutation!$A$5:$E$65,5,FALSE()))/VLOOKUP(Paramètres!$B$13+1,Commutation!$A$5:$E$65,2,FALSE())</f>
        <v>-113.219042435288</v>
      </c>
      <c r="C6" s="9">
        <f>(Paramètres!$C$14/VLOOKUP(Paramètres!$C$13+1,Tables_CIMA!$E$5:$H$65,2,FALSE()))*SUMPRODUCT((Calcul_PP!$A$5:$A$19&gt;=1)*(Calcul_PP!$A$5:$A$19&lt;Paramètres!$B$6)*Calcul_PP!$B$5:$B$19*Calcul_PP!$L$5:$L$19*POWER(1/(1+Paramètres!$B$8),Calcul_PP!$A$5:$A$19-1+0.5))-Tarification!$C$23*(VLOOKUP(Paramètres!$C$13+1,Commutation!$F$5:$J$65,5,FALSE())-VLOOKUP(Paramètres!$C$13+Paramètres!$B$6,Commutation!$F$5:$J$65,5,FALSE()))/VLOOKUP(Paramètres!$C$13+1,Commutation!$F$5:$J$65,2,FALSE())</f>
        <v>18.4054075702879</v>
      </c>
      <c r="D6" s="9">
        <f t="shared" si="0"/>
        <v>-94.8136348650005</v>
      </c>
      <c r="E6" s="9">
        <f>Tarification!B23</f>
        <v>23952.1065987448</v>
      </c>
      <c r="F6" s="10">
        <f>(B6+Tarification!$B$23)*(1+Paramètres!$B$8)-Paramètres!$B$14*VLOOKUP(1,Calcul_PP!$A$5:$B$19,2,FALSE())*VLOOKUP(Paramètres!$B$13+1,Tables_CIMA!$A$5:$D$65,4,FALSE())*SQRT(1+Paramètres!$B$8)-(1-VLOOKUP(Paramètres!$B$13+1,Tables_CIMA!$A$5:$D$65,4,FALSE()))*B7</f>
        <v>8.00355337560177e-11</v>
      </c>
      <c r="G6" s="9">
        <f>Tarification!C23</f>
        <v>4801.69366451515</v>
      </c>
      <c r="H6" s="10">
        <f>(C6+Tarification!$C$23)*(1+Paramètres!$B$8)-Paramètres!$C$14*VLOOKUP(1,Calcul_PP!$A$5:$B$19,2,FALSE())*VLOOKUP(Paramètres!$C$13+1,Tables_CIMA!$E$5:$H$65,4,FALSE())*SQRT(1+Paramètres!$B$8)-(1-VLOOKUP(Paramètres!$C$13+1,Tables_CIMA!$E$5:$H$65,4,FALSE()))*C7</f>
        <v>1.33297817228595e-11</v>
      </c>
    </row>
    <row r="7" ht="14.25" customHeight="1" spans="1:8">
      <c r="A7" s="5">
        <v>2</v>
      </c>
      <c r="B7" s="6">
        <f>(Paramètres!$B$14/VLOOKUP(Paramètres!$B$13+2,Tables_CIMA!$A$5:$D$65,2,FALSE()))*SUMPRODUCT((Calcul_PP!$A$5:$A$19&gt;=2)*(Calcul_PP!$A$5:$A$19&lt;Paramètres!$B$6)*Calcul_PP!$B$5:$B$19*Calcul_PP!$E$5:$E$19*POWER(1/(1+Paramètres!$B$8),Calcul_PP!$A$5:$A$19-2+0.5))-Tarification!$B$23*(VLOOKUP(Paramètres!$B$13+2,Commutation!$A$5:$E$65,5,FALSE())-VLOOKUP(Paramètres!$B$13+Paramètres!$B$6,Commutation!$A$5:$E$65,5,FALSE()))/VLOOKUP(Paramètres!$B$13+2,Commutation!$A$5:$E$65,2,FALSE())</f>
        <v>-1529.18972079712</v>
      </c>
      <c r="C7" s="6">
        <f>(Paramètres!$C$14/VLOOKUP(Paramètres!$C$13+2,Tables_CIMA!$E$5:$H$65,2,FALSE()))*SUMPRODUCT((Calcul_PP!$A$5:$A$19&gt;=2)*(Calcul_PP!$A$5:$A$19&lt;Paramètres!$B$6)*Calcul_PP!$B$5:$B$19*Calcul_PP!$L$5:$L$19*POWER(1/(1+Paramètres!$B$8),Calcul_PP!$A$5:$A$19-2+0.5))-Tarification!$C$23*(VLOOKUP(Paramètres!$C$13+2,Commutation!$F$5:$J$65,5,FALSE())-VLOOKUP(Paramètres!$C$13+Paramètres!$B$6,Commutation!$F$5:$J$65,5,FALSE()))/VLOOKUP(Paramètres!$C$13+2,Commutation!$F$5:$J$65,2,FALSE())</f>
        <v>-153.228190045644</v>
      </c>
      <c r="D7" s="6">
        <f t="shared" si="0"/>
        <v>-1682.41791084276</v>
      </c>
      <c r="E7" s="6">
        <f>Tarification!B23</f>
        <v>23952.1065987448</v>
      </c>
      <c r="F7" s="7">
        <f>(B7+Tarification!$B$23)*(1+Paramètres!$B$8)-Paramètres!$B$14*VLOOKUP(2,Calcul_PP!$A$5:$B$19,2,FALSE())*VLOOKUP(Paramètres!$B$13+2,Tables_CIMA!$A$5:$D$65,4,FALSE())*SQRT(1+Paramètres!$B$8)-(1-VLOOKUP(Paramètres!$B$13+2,Tables_CIMA!$A$5:$D$65,4,FALSE()))*B8</f>
        <v>-6.3664629124105e-11</v>
      </c>
      <c r="G7" s="6">
        <f>Tarification!C23</f>
        <v>4801.69366451515</v>
      </c>
      <c r="H7" s="7">
        <f>(C7+Tarification!$C$23)*(1+Paramètres!$B$8)-Paramètres!$C$14*VLOOKUP(2,Calcul_PP!$A$5:$B$19,2,FALSE())*VLOOKUP(Paramètres!$C$13+2,Tables_CIMA!$E$5:$H$65,4,FALSE())*SQRT(1+Paramètres!$B$8)-(1-VLOOKUP(Paramètres!$C$13+2,Tables_CIMA!$E$5:$H$65,4,FALSE()))*C8</f>
        <v>-1.02318153949454e-12</v>
      </c>
    </row>
    <row r="8" ht="14.25" customHeight="1" spans="1:8">
      <c r="A8" s="8">
        <v>3</v>
      </c>
      <c r="B8" s="9">
        <f>(Paramètres!$B$14/VLOOKUP(Paramètres!$B$13+3,Tables_CIMA!$A$5:$D$65,2,FALSE()))*SUMPRODUCT((Calcul_PP!$A$5:$A$19&gt;=3)*(Calcul_PP!$A$5:$A$19&lt;Paramètres!$B$6)*Calcul_PP!$B$5:$B$19*Calcul_PP!$E$5:$E$19*POWER(1/(1+Paramètres!$B$8),Calcul_PP!$A$5:$A$19-3+0.5))-Tarification!$B$23*(VLOOKUP(Paramètres!$B$13+3,Commutation!$A$5:$E$65,5,FALSE())-VLOOKUP(Paramètres!$B$13+Paramètres!$B$6,Commutation!$A$5:$E$65,5,FALSE()))/VLOOKUP(Paramètres!$B$13+3,Commutation!$A$5:$E$65,2,FALSE())</f>
        <v>-4106.29125073287</v>
      </c>
      <c r="C8" s="9">
        <f>(Paramètres!$C$14/VLOOKUP(Paramètres!$C$13+3,Tables_CIMA!$E$5:$H$65,2,FALSE()))*SUMPRODUCT((Calcul_PP!$A$5:$A$19&gt;=3)*(Calcul_PP!$A$5:$A$19&lt;Paramètres!$B$6)*Calcul_PP!$B$5:$B$19*Calcul_PP!$L$5:$L$19*POWER(1/(1+Paramètres!$B$8),Calcul_PP!$A$5:$A$19-3+0.5))-Tarification!$C$23*(VLOOKUP(Paramètres!$C$13+3,Commutation!$F$5:$J$65,5,FALSE())-VLOOKUP(Paramètres!$C$13+Paramètres!$B$6,Commutation!$F$5:$J$65,5,FALSE()))/VLOOKUP(Paramètres!$C$13+3,Commutation!$F$5:$J$65,2,FALSE())</f>
        <v>-525.832605122923</v>
      </c>
      <c r="D8" s="9">
        <f t="shared" si="0"/>
        <v>-4632.1238558558</v>
      </c>
      <c r="E8" s="9">
        <f>Tarification!B23</f>
        <v>23952.1065987448</v>
      </c>
      <c r="F8" s="10">
        <f>(B8+Tarification!$B$23)*(1+Paramètres!$B$8)-Paramètres!$B$14*VLOOKUP(3,Calcul_PP!$A$5:$B$19,2,FALSE())*VLOOKUP(Paramètres!$B$13+3,Tables_CIMA!$A$5:$D$65,4,FALSE())*SQRT(1+Paramètres!$B$8)-(1-VLOOKUP(Paramètres!$B$13+3,Tables_CIMA!$A$5:$D$65,4,FALSE()))*B9</f>
        <v>1.16415321826935e-10</v>
      </c>
      <c r="G8" s="9">
        <f>Tarification!C23</f>
        <v>4801.69366451515</v>
      </c>
      <c r="H8" s="10">
        <f>(C8+Tarification!$C$23)*(1+Paramètres!$B$8)-Paramètres!$C$14*VLOOKUP(3,Calcul_PP!$A$5:$B$19,2,FALSE())*VLOOKUP(Paramètres!$C$13+3,Tables_CIMA!$E$5:$H$65,4,FALSE())*SQRT(1+Paramètres!$B$8)-(1-VLOOKUP(Paramètres!$C$13+3,Tables_CIMA!$E$5:$H$65,4,FALSE()))*C9</f>
        <v>-1.34150468511507e-11</v>
      </c>
    </row>
    <row r="9" ht="14.25" customHeight="1" spans="1:8">
      <c r="A9" s="5">
        <v>4</v>
      </c>
      <c r="B9" s="6">
        <f>(Paramètres!$B$14/VLOOKUP(Paramètres!$B$13+4,Tables_CIMA!$A$5:$D$65,2,FALSE()))*SUMPRODUCT((Calcul_PP!$A$5:$A$19&gt;=4)*(Calcul_PP!$A$5:$A$19&lt;Paramètres!$B$6)*Calcul_PP!$B$5:$B$19*Calcul_PP!$E$5:$E$19*POWER(1/(1+Paramètres!$B$8),Calcul_PP!$A$5:$A$19-4+0.5))-Tarification!$B$23*(VLOOKUP(Paramètres!$B$13+4,Commutation!$A$5:$E$65,5,FALSE())-VLOOKUP(Paramètres!$B$13+Paramètres!$B$6,Commutation!$A$5:$E$65,5,FALSE()))/VLOOKUP(Paramètres!$B$13+4,Commutation!$A$5:$E$65,2,FALSE())</f>
        <v>-7793.80253157942</v>
      </c>
      <c r="C9" s="6">
        <f>(Paramètres!$C$14/VLOOKUP(Paramètres!$C$13+4,Tables_CIMA!$E$5:$H$65,2,FALSE()))*SUMPRODUCT((Calcul_PP!$A$5:$A$19&gt;=4)*(Calcul_PP!$A$5:$A$19&lt;Paramètres!$B$6)*Calcul_PP!$B$5:$B$19*Calcul_PP!$L$5:$L$19*POWER(1/(1+Paramètres!$B$8),Calcul_PP!$A$5:$A$19-4+0.5))-Tarification!$C$23*(VLOOKUP(Paramètres!$C$13+4,Commutation!$F$5:$J$65,5,FALSE())-VLOOKUP(Paramètres!$C$13+Paramètres!$B$6,Commutation!$F$5:$J$65,5,FALSE()))/VLOOKUP(Paramètres!$C$13+4,Commutation!$F$5:$J$65,2,FALSE())</f>
        <v>-1136.0559063296</v>
      </c>
      <c r="D9" s="6">
        <f t="shared" si="0"/>
        <v>-8929.85843790902</v>
      </c>
      <c r="E9" s="6">
        <f>Tarification!B23</f>
        <v>23952.1065987448</v>
      </c>
      <c r="F9" s="7">
        <f>(B9+Tarification!$B$23)*(1+Paramètres!$B$8)-Paramètres!$B$14*VLOOKUP(4,Calcul_PP!$A$5:$B$19,2,FALSE())*VLOOKUP(Paramètres!$B$13+4,Tables_CIMA!$A$5:$D$65,4,FALSE())*SQRT(1+Paramètres!$B$8)-(1-VLOOKUP(Paramètres!$B$13+4,Tables_CIMA!$A$5:$D$65,4,FALSE()))*B10</f>
        <v>-6.00266503170133e-11</v>
      </c>
      <c r="G9" s="6">
        <f>Tarification!C23</f>
        <v>4801.69366451515</v>
      </c>
      <c r="H9" s="7">
        <f>(C9+Tarification!$C$23)*(1+Paramètres!$B$8)-Paramètres!$C$14*VLOOKUP(4,Calcul_PP!$A$5:$B$19,2,FALSE())*VLOOKUP(Paramètres!$C$13+4,Tables_CIMA!$E$5:$H$65,4,FALSE())*SQRT(1+Paramètres!$B$8)-(1-VLOOKUP(Paramètres!$C$13+4,Tables_CIMA!$E$5:$H$65,4,FALSE()))*C10</f>
        <v>-2.18278728425503e-11</v>
      </c>
    </row>
    <row r="10" ht="14.25" customHeight="1" spans="1:8">
      <c r="A10" s="8">
        <v>5</v>
      </c>
      <c r="B10" s="9">
        <f>(Paramètres!$B$14/VLOOKUP(Paramètres!$B$13+5,Tables_CIMA!$A$5:$D$65,2,FALSE()))*SUMPRODUCT((Calcul_PP!$A$5:$A$19&gt;=5)*(Calcul_PP!$A$5:$A$19&lt;Paramètres!$B$6)*Calcul_PP!$B$5:$B$19*Calcul_PP!$E$5:$E$19*POWER(1/(1+Paramètres!$B$8),Calcul_PP!$A$5:$A$19-5+0.5))-Tarification!$B$23*(VLOOKUP(Paramètres!$B$13+5,Commutation!$A$5:$E$65,5,FALSE())-VLOOKUP(Paramètres!$B$13+Paramètres!$B$6,Commutation!$A$5:$E$65,5,FALSE()))/VLOOKUP(Paramètres!$B$13+5,Commutation!$A$5:$E$65,2,FALSE())</f>
        <v>-12406.7549826116</v>
      </c>
      <c r="C10" s="9">
        <f>(Paramètres!$C$14/VLOOKUP(Paramètres!$C$13+5,Tables_CIMA!$E$5:$H$65,2,FALSE()))*SUMPRODUCT((Calcul_PP!$A$5:$A$19&gt;=5)*(Calcul_PP!$A$5:$A$19&lt;Paramètres!$B$6)*Calcul_PP!$B$5:$B$19*Calcul_PP!$L$5:$L$19*POWER(1/(1+Paramètres!$B$8),Calcul_PP!$A$5:$A$19-5+0.5))-Tarification!$C$23*(VLOOKUP(Paramètres!$C$13+5,Commutation!$F$5:$J$65,5,FALSE())-VLOOKUP(Paramètres!$C$13+Paramètres!$B$6,Commutation!$F$5:$J$65,5,FALSE()))/VLOOKUP(Paramètres!$C$13+5,Commutation!$F$5:$J$65,2,FALSE())</f>
        <v>-1934.93492773774</v>
      </c>
      <c r="D10" s="9">
        <f t="shared" si="0"/>
        <v>-14341.6899103494</v>
      </c>
      <c r="E10" s="9">
        <f>Tarification!B23</f>
        <v>23952.1065987448</v>
      </c>
      <c r="F10" s="10">
        <f>(B10+Tarification!$B$23)*(1+Paramètres!$B$8)-Paramètres!$B$14*VLOOKUP(5,Calcul_PP!$A$5:$B$19,2,FALSE())*VLOOKUP(Paramètres!$B$13+5,Tables_CIMA!$A$5:$D$65,4,FALSE())*SQRT(1+Paramètres!$B$8)-(1-VLOOKUP(Paramètres!$B$13+5,Tables_CIMA!$A$5:$D$65,4,FALSE()))*B11</f>
        <v>-5.45696821063757e-11</v>
      </c>
      <c r="G10" s="9">
        <f>Tarification!C23</f>
        <v>4801.69366451515</v>
      </c>
      <c r="H10" s="10">
        <f>(C10+Tarification!$C$23)*(1+Paramètres!$B$8)-Paramètres!$C$14*VLOOKUP(5,Calcul_PP!$A$5:$B$19,2,FALSE())*VLOOKUP(Paramètres!$C$13+5,Tables_CIMA!$E$5:$H$65,4,FALSE())*SQRT(1+Paramètres!$B$8)-(1-VLOOKUP(Paramètres!$C$13+5,Tables_CIMA!$E$5:$H$65,4,FALSE()))*C11</f>
        <v>1.50066625792533e-11</v>
      </c>
    </row>
    <row r="11" ht="14.25" customHeight="1" spans="1:8">
      <c r="A11" s="5">
        <v>6</v>
      </c>
      <c r="B11" s="6">
        <f>(Paramètres!$B$14/VLOOKUP(Paramètres!$B$13+6,Tables_CIMA!$A$5:$D$65,2,FALSE()))*SUMPRODUCT((Calcul_PP!$A$5:$A$19&gt;=6)*(Calcul_PP!$A$5:$A$19&lt;Paramètres!$B$6)*Calcul_PP!$B$5:$B$19*Calcul_PP!$E$5:$E$19*POWER(1/(1+Paramètres!$B$8),Calcul_PP!$A$5:$A$19-6+0.5))-Tarification!$B$23*(VLOOKUP(Paramètres!$B$13+6,Commutation!$A$5:$E$65,5,FALSE())-VLOOKUP(Paramètres!$B$13+Paramètres!$B$6,Commutation!$A$5:$E$65,5,FALSE()))/VLOOKUP(Paramètres!$B$13+6,Commutation!$A$5:$E$65,2,FALSE())</f>
        <v>-17713.7315756908</v>
      </c>
      <c r="C11" s="6">
        <f>(Paramètres!$C$14/VLOOKUP(Paramètres!$C$13+6,Tables_CIMA!$E$5:$H$65,2,FALSE()))*SUMPRODUCT((Calcul_PP!$A$5:$A$19&gt;=6)*(Calcul_PP!$A$5:$A$19&lt;Paramètres!$B$6)*Calcul_PP!$B$5:$B$19*Calcul_PP!$L$5:$L$19*POWER(1/(1+Paramètres!$B$8),Calcul_PP!$A$5:$A$19-6+0.5))-Tarification!$C$23*(VLOOKUP(Paramètres!$C$13+6,Commutation!$F$5:$J$65,5,FALSE())-VLOOKUP(Paramètres!$C$13+Paramètres!$B$6,Commutation!$F$5:$J$65,5,FALSE()))/VLOOKUP(Paramètres!$C$13+6,Commutation!$F$5:$J$65,2,FALSE())</f>
        <v>-2892.55658622239</v>
      </c>
      <c r="D11" s="6">
        <f t="shared" si="0"/>
        <v>-20606.2881619132</v>
      </c>
      <c r="E11" s="6">
        <f>Tarification!B23</f>
        <v>23952.1065987448</v>
      </c>
      <c r="F11" s="7">
        <f>(B11+Tarification!$B$23)*(1+Paramètres!$B$8)-Paramètres!$B$14*VLOOKUP(6,Calcul_PP!$A$5:$B$19,2,FALSE())*VLOOKUP(Paramètres!$B$13+6,Tables_CIMA!$A$5:$D$65,4,FALSE())*SQRT(1+Paramètres!$B$8)-(1-VLOOKUP(Paramètres!$B$13+6,Tables_CIMA!$A$5:$D$65,4,FALSE()))*B12</f>
        <v>8.00355337560177e-11</v>
      </c>
      <c r="G11" s="6">
        <f>Tarification!C23</f>
        <v>4801.69366451515</v>
      </c>
      <c r="H11" s="7">
        <f>(C11+Tarification!$C$23)*(1+Paramètres!$B$8)-Paramètres!$C$14*VLOOKUP(6,Calcul_PP!$A$5:$B$19,2,FALSE())*VLOOKUP(Paramètres!$C$13+6,Tables_CIMA!$E$5:$H$65,4,FALSE())*SQRT(1+Paramètres!$B$8)-(1-VLOOKUP(Paramètres!$C$13+6,Tables_CIMA!$E$5:$H$65,4,FALSE()))*C12</f>
        <v>1.22781784739345e-11</v>
      </c>
    </row>
    <row r="12" ht="14.25" customHeight="1" spans="1:8">
      <c r="A12" s="8">
        <v>7</v>
      </c>
      <c r="B12" s="9">
        <f>(Paramètres!$B$14/VLOOKUP(Paramètres!$B$13+7,Tables_CIMA!$A$5:$D$65,2,FALSE()))*SUMPRODUCT((Calcul_PP!$A$5:$A$19&gt;=7)*(Calcul_PP!$A$5:$A$19&lt;Paramètres!$B$6)*Calcul_PP!$B$5:$B$19*Calcul_PP!$E$5:$E$19*POWER(1/(1+Paramètres!$B$8),Calcul_PP!$A$5:$A$19-7+0.5))-Tarification!$B$23*(VLOOKUP(Paramètres!$B$13+7,Commutation!$A$5:$E$65,5,FALSE())-VLOOKUP(Paramètres!$B$13+Paramètres!$B$6,Commutation!$A$5:$E$65,5,FALSE()))/VLOOKUP(Paramètres!$B$13+7,Commutation!$A$5:$E$65,2,FALSE())</f>
        <v>-23280.2173839809</v>
      </c>
      <c r="C12" s="9">
        <f>(Paramètres!$C$14/VLOOKUP(Paramètres!$C$13+7,Tables_CIMA!$E$5:$H$65,2,FALSE()))*SUMPRODUCT((Calcul_PP!$A$5:$A$19&gt;=7)*(Calcul_PP!$A$5:$A$19&lt;Paramètres!$B$6)*Calcul_PP!$B$5:$B$19*Calcul_PP!$L$5:$L$19*POWER(1/(1+Paramètres!$B$8),Calcul_PP!$A$5:$A$19-7+0.5))-Tarification!$C$23*(VLOOKUP(Paramètres!$C$13+7,Commutation!$F$5:$J$65,5,FALSE())-VLOOKUP(Paramètres!$C$13+Paramètres!$B$6,Commutation!$F$5:$J$65,5,FALSE()))/VLOOKUP(Paramètres!$C$13+7,Commutation!$F$5:$J$65,2,FALSE())</f>
        <v>-3945.28438647822</v>
      </c>
      <c r="D12" s="9">
        <f t="shared" si="0"/>
        <v>-27225.5017704591</v>
      </c>
      <c r="E12" s="9">
        <f>Tarification!B23</f>
        <v>23952.1065987448</v>
      </c>
      <c r="F12" s="10">
        <f>(B12+Tarification!$B$23)*(1+Paramètres!$B$8)-Paramètres!$B$14*VLOOKUP(7,Calcul_PP!$A$5:$B$19,2,FALSE())*VLOOKUP(Paramètres!$B$13+7,Tables_CIMA!$A$5:$D$65,4,FALSE())*SQRT(1+Paramètres!$B$8)-(1-VLOOKUP(Paramètres!$B$13+7,Tables_CIMA!$A$5:$D$65,4,FALSE()))*B13</f>
        <v>0</v>
      </c>
      <c r="G12" s="9">
        <f>Tarification!C23</f>
        <v>4801.69366451515</v>
      </c>
      <c r="H12" s="10">
        <f>(C12+Tarification!$C$23)*(1+Paramètres!$B$8)-Paramètres!$C$14*VLOOKUP(7,Calcul_PP!$A$5:$B$19,2,FALSE())*VLOOKUP(Paramètres!$C$13+7,Tables_CIMA!$E$5:$H$65,4,FALSE())*SQRT(1+Paramètres!$B$8)-(1-VLOOKUP(Paramètres!$C$13+7,Tables_CIMA!$E$5:$H$65,4,FALSE()))*C13</f>
        <v>0</v>
      </c>
    </row>
    <row r="13" ht="14.25" customHeight="1" spans="1:8">
      <c r="A13" s="5">
        <v>8</v>
      </c>
      <c r="B13" s="6">
        <f>(Paramètres!$B$14/VLOOKUP(Paramètres!$B$13+8,Tables_CIMA!$A$5:$D$65,2,FALSE()))*SUMPRODUCT((Calcul_PP!$A$5:$A$19&gt;=8)*(Calcul_PP!$A$5:$A$19&lt;Paramètres!$B$6)*Calcul_PP!$B$5:$B$19*Calcul_PP!$E$5:$E$19*POWER(1/(1+Paramètres!$B$8),Calcul_PP!$A$5:$A$19-8+0.5))-Tarification!$B$23*(VLOOKUP(Paramètres!$B$13+8,Commutation!$A$5:$E$65,5,FALSE())-VLOOKUP(Paramètres!$B$13+Paramètres!$B$6,Commutation!$A$5:$E$65,5,FALSE()))/VLOOKUP(Paramètres!$B$13+8,Commutation!$A$5:$E$65,2,FALSE())</f>
        <v>-28557.1913575228</v>
      </c>
      <c r="C13" s="6">
        <f>(Paramètres!$C$14/VLOOKUP(Paramètres!$C$13+8,Tables_CIMA!$E$5:$H$65,2,FALSE()))*SUMPRODUCT((Calcul_PP!$A$5:$A$19&gt;=8)*(Calcul_PP!$A$5:$A$19&lt;Paramètres!$B$6)*Calcul_PP!$B$5:$B$19*Calcul_PP!$L$5:$L$19*POWER(1/(1+Paramètres!$B$8),Calcul_PP!$A$5:$A$19-8+0.5))-Tarification!$C$23*(VLOOKUP(Paramètres!$C$13+8,Commutation!$F$5:$J$65,5,FALSE())-VLOOKUP(Paramètres!$C$13+Paramètres!$B$6,Commutation!$F$5:$J$65,5,FALSE()))/VLOOKUP(Paramètres!$C$13+8,Commutation!$F$5:$J$65,2,FALSE())</f>
        <v>-5014.32135002318</v>
      </c>
      <c r="D13" s="6">
        <f t="shared" si="0"/>
        <v>-33571.512707546</v>
      </c>
      <c r="E13" s="6">
        <f>Tarification!B23</f>
        <v>23952.1065987448</v>
      </c>
      <c r="F13" s="7">
        <f>(B13+Tarification!$B$23)*(1+Paramètres!$B$8)-Paramètres!$B$14*VLOOKUP(8,Calcul_PP!$A$5:$B$19,2,FALSE())*VLOOKUP(Paramètres!$B$13+8,Tables_CIMA!$A$5:$D$65,4,FALSE())*SQRT(1+Paramètres!$B$8)-(1-VLOOKUP(Paramètres!$B$13+8,Tables_CIMA!$A$5:$D$65,4,FALSE()))*B14</f>
        <v>0</v>
      </c>
      <c r="G13" s="6">
        <f>Tarification!C23</f>
        <v>4801.69366451515</v>
      </c>
      <c r="H13" s="7">
        <f>(C13+Tarification!$C$23)*(1+Paramètres!$B$8)-Paramètres!$C$14*VLOOKUP(8,Calcul_PP!$A$5:$B$19,2,FALSE())*VLOOKUP(Paramètres!$C$13+8,Tables_CIMA!$E$5:$H$65,4,FALSE())*SQRT(1+Paramètres!$B$8)-(1-VLOOKUP(Paramètres!$C$13+8,Tables_CIMA!$E$5:$H$65,4,FALSE()))*C14</f>
        <v>-8.18545231595635e-12</v>
      </c>
    </row>
    <row r="14" ht="14.25" customHeight="1" spans="1:8">
      <c r="A14" s="8">
        <v>9</v>
      </c>
      <c r="B14" s="9">
        <f>(Paramètres!$B$14/VLOOKUP(Paramètres!$B$13+9,Tables_CIMA!$A$5:$D$65,2,FALSE()))*SUMPRODUCT((Calcul_PP!$A$5:$A$19&gt;=9)*(Calcul_PP!$A$5:$A$19&lt;Paramètres!$B$6)*Calcul_PP!$B$5:$B$19*Calcul_PP!$E$5:$E$19*POWER(1/(1+Paramètres!$B$8),Calcul_PP!$A$5:$A$19-9+0.5))-Tarification!$B$23*(VLOOKUP(Paramètres!$B$13+9,Commutation!$A$5:$E$65,5,FALSE())-VLOOKUP(Paramètres!$B$13+Paramètres!$B$6,Commutation!$A$5:$E$65,5,FALSE()))/VLOOKUP(Paramètres!$B$13+9,Commutation!$A$5:$E$65,2,FALSE())</f>
        <v>-32956.8266683929</v>
      </c>
      <c r="C14" s="9">
        <f>(Paramètres!$C$14/VLOOKUP(Paramètres!$C$13+9,Tables_CIMA!$E$5:$H$65,2,FALSE()))*SUMPRODUCT((Calcul_PP!$A$5:$A$19&gt;=9)*(Calcul_PP!$A$5:$A$19&lt;Paramètres!$B$6)*Calcul_PP!$B$5:$B$19*Calcul_PP!$L$5:$L$19*POWER(1/(1+Paramètres!$B$8),Calcul_PP!$A$5:$A$19-9+0.5))-Tarification!$C$23*(VLOOKUP(Paramètres!$C$13+9,Commutation!$F$5:$J$65,5,FALSE())-VLOOKUP(Paramètres!$C$13+Paramètres!$B$6,Commutation!$F$5:$J$65,5,FALSE()))/VLOOKUP(Paramètres!$C$13+9,Commutation!$F$5:$J$65,2,FALSE())</f>
        <v>-5976.61389052336</v>
      </c>
      <c r="D14" s="9">
        <f t="shared" si="0"/>
        <v>-38933.4405589163</v>
      </c>
      <c r="E14" s="9">
        <f>Tarification!B23</f>
        <v>23952.1065987448</v>
      </c>
      <c r="F14" s="10">
        <f>(B14+Tarification!$B$23)*(1+Paramètres!$B$8)-Paramètres!$B$14*VLOOKUP(9,Calcul_PP!$A$5:$B$19,2,FALSE())*VLOOKUP(Paramètres!$B$13+9,Tables_CIMA!$A$5:$D$65,4,FALSE())*SQRT(1+Paramètres!$B$8)-(1-VLOOKUP(Paramètres!$B$13+9,Tables_CIMA!$A$5:$D$65,4,FALSE()))*B15</f>
        <v>-5.82076609134674e-11</v>
      </c>
      <c r="G14" s="9">
        <f>Tarification!C23</f>
        <v>4801.69366451515</v>
      </c>
      <c r="H14" s="10">
        <f>(C14+Tarification!$C$23)*(1+Paramètres!$B$8)-Paramètres!$C$14*VLOOKUP(9,Calcul_PP!$A$5:$B$19,2,FALSE())*VLOOKUP(Paramètres!$C$13+9,Tables_CIMA!$E$5:$H$65,4,FALSE())*SQRT(1+Paramètres!$B$8)-(1-VLOOKUP(Paramètres!$C$13+9,Tables_CIMA!$E$5:$H$65,4,FALSE()))*C15</f>
        <v>0</v>
      </c>
    </row>
    <row r="15" ht="14.25" customHeight="1" spans="1:8">
      <c r="A15" s="5">
        <v>10</v>
      </c>
      <c r="B15" s="6">
        <f>(Paramètres!$B$14/VLOOKUP(Paramètres!$B$13+10,Tables_CIMA!$A$5:$D$65,2,FALSE()))*SUMPRODUCT((Calcul_PP!$A$5:$A$19&gt;=10)*(Calcul_PP!$A$5:$A$19&lt;Paramètres!$B$6)*Calcul_PP!$B$5:$B$19*Calcul_PP!$E$5:$E$19*POWER(1/(1+Paramètres!$B$8),Calcul_PP!$A$5:$A$19-10+0.5))-Tarification!$B$23*(VLOOKUP(Paramètres!$B$13+10,Commutation!$A$5:$E$65,5,FALSE())-VLOOKUP(Paramètres!$B$13+Paramètres!$B$6,Commutation!$A$5:$E$65,5,FALSE()))/VLOOKUP(Paramètres!$B$13+10,Commutation!$A$5:$E$65,2,FALSE())</f>
        <v>-35856.84776712</v>
      </c>
      <c r="C15" s="6">
        <f>(Paramètres!$C$14/VLOOKUP(Paramètres!$C$13+10,Tables_CIMA!$E$5:$H$65,2,FALSE()))*SUMPRODUCT((Calcul_PP!$A$5:$A$19&gt;=10)*(Calcul_PP!$A$5:$A$19&lt;Paramètres!$B$6)*Calcul_PP!$B$5:$B$19*Calcul_PP!$L$5:$L$19*POWER(1/(1+Paramètres!$B$8),Calcul_PP!$A$5:$A$19-10+0.5))-Tarification!$C$23*(VLOOKUP(Paramètres!$C$13+10,Commutation!$F$5:$J$65,5,FALSE())-VLOOKUP(Paramètres!$C$13+Paramètres!$B$6,Commutation!$F$5:$J$65,5,FALSE()))/VLOOKUP(Paramètres!$C$13+10,Commutation!$F$5:$J$65,2,FALSE())</f>
        <v>-6679.50824137805</v>
      </c>
      <c r="D15" s="6">
        <f t="shared" si="0"/>
        <v>-42536.356008498</v>
      </c>
      <c r="E15" s="6">
        <f>Tarification!B23</f>
        <v>23952.1065987448</v>
      </c>
      <c r="F15" s="7">
        <f>(B15+Tarification!$B$23)*(1+Paramètres!$B$8)-Paramètres!$B$14*VLOOKUP(10,Calcul_PP!$A$5:$B$19,2,FALSE())*VLOOKUP(Paramètres!$B$13+10,Tables_CIMA!$A$5:$D$65,4,FALSE())*SQRT(1+Paramètres!$B$8)-(1-VLOOKUP(Paramètres!$B$13+10,Tables_CIMA!$A$5:$D$65,4,FALSE()))*B16</f>
        <v>0</v>
      </c>
      <c r="G15" s="6">
        <f>Tarification!C23</f>
        <v>4801.69366451515</v>
      </c>
      <c r="H15" s="7">
        <f>(C15+Tarification!$C$23)*(1+Paramètres!$B$8)-Paramètres!$C$14*VLOOKUP(10,Calcul_PP!$A$5:$B$19,2,FALSE())*VLOOKUP(Paramètres!$C$13+10,Tables_CIMA!$E$5:$H$65,4,FALSE())*SQRT(1+Paramètres!$B$8)-(1-VLOOKUP(Paramètres!$C$13+10,Tables_CIMA!$E$5:$H$65,4,FALSE()))*C16</f>
        <v>0</v>
      </c>
    </row>
    <row r="16" ht="14.25" customHeight="1" spans="1:8">
      <c r="A16" s="8">
        <v>11</v>
      </c>
      <c r="B16" s="9">
        <f>(Paramètres!$B$14/VLOOKUP(Paramètres!$B$13+11,Tables_CIMA!$A$5:$D$65,2,FALSE()))*SUMPRODUCT((Calcul_PP!$A$5:$A$19&gt;=11)*(Calcul_PP!$A$5:$A$19&lt;Paramètres!$B$6)*Calcul_PP!$B$5:$B$19*Calcul_PP!$E$5:$E$19*POWER(1/(1+Paramètres!$B$8),Calcul_PP!$A$5:$A$19-11+0.5))-Tarification!$B$23*(VLOOKUP(Paramètres!$B$13+11,Commutation!$A$5:$E$65,5,FALSE())-VLOOKUP(Paramètres!$B$13+Paramètres!$B$6,Commutation!$A$5:$E$65,5,FALSE()))/VLOOKUP(Paramètres!$B$13+11,Commutation!$A$5:$E$65,2,FALSE())</f>
        <v>-36549.8983398389</v>
      </c>
      <c r="C16" s="9">
        <f>(Paramètres!$C$14/VLOOKUP(Paramètres!$C$13+11,Tables_CIMA!$E$5:$H$65,2,FALSE()))*SUMPRODUCT((Calcul_PP!$A$5:$A$19&gt;=11)*(Calcul_PP!$A$5:$A$19&lt;Paramètres!$B$6)*Calcul_PP!$B$5:$B$19*Calcul_PP!$L$5:$L$19*POWER(1/(1+Paramètres!$B$8),Calcul_PP!$A$5:$A$19-11+0.5))-Tarification!$C$23*(VLOOKUP(Paramètres!$C$13+11,Commutation!$F$5:$J$65,5,FALSE())-VLOOKUP(Paramètres!$C$13+Paramètres!$B$6,Commutation!$F$5:$J$65,5,FALSE()))/VLOOKUP(Paramètres!$C$13+11,Commutation!$F$5:$J$65,2,FALSE())</f>
        <v>-6959.84492366305</v>
      </c>
      <c r="D16" s="9">
        <f t="shared" si="0"/>
        <v>-43509.743263502</v>
      </c>
      <c r="E16" s="9">
        <f>Tarification!B23</f>
        <v>23952.1065987448</v>
      </c>
      <c r="F16" s="10">
        <f>(B16+Tarification!$B$23)*(1+Paramètres!$B$8)-Paramètres!$B$14*VLOOKUP(11,Calcul_PP!$A$5:$B$19,2,FALSE())*VLOOKUP(Paramètres!$B$13+11,Tables_CIMA!$A$5:$D$65,4,FALSE())*SQRT(1+Paramètres!$B$8)-(1-VLOOKUP(Paramètres!$B$13+11,Tables_CIMA!$A$5:$D$65,4,FALSE()))*B17</f>
        <v>0</v>
      </c>
      <c r="G16" s="9">
        <f>Tarification!C23</f>
        <v>4801.69366451515</v>
      </c>
      <c r="H16" s="10">
        <f>(C16+Tarification!$C$23)*(1+Paramètres!$B$8)-Paramètres!$C$14*VLOOKUP(11,Calcul_PP!$A$5:$B$19,2,FALSE())*VLOOKUP(Paramètres!$C$13+11,Tables_CIMA!$E$5:$H$65,4,FALSE())*SQRT(1+Paramètres!$B$8)-(1-VLOOKUP(Paramètres!$C$13+11,Tables_CIMA!$E$5:$H$65,4,FALSE()))*C17</f>
        <v>-9.09494701772928e-12</v>
      </c>
    </row>
    <row r="17" ht="14.25" customHeight="1" spans="1:8">
      <c r="A17" s="5">
        <v>12</v>
      </c>
      <c r="B17" s="6">
        <f>(Paramètres!$B$14/VLOOKUP(Paramètres!$B$13+12,Tables_CIMA!$A$5:$D$65,2,FALSE()))*SUMPRODUCT((Calcul_PP!$A$5:$A$19&gt;=12)*(Calcul_PP!$A$5:$A$19&lt;Paramètres!$B$6)*Calcul_PP!$B$5:$B$19*Calcul_PP!$E$5:$E$19*POWER(1/(1+Paramètres!$B$8),Calcul_PP!$A$5:$A$19-12+0.5))-Tarification!$B$23*(VLOOKUP(Paramètres!$B$13+12,Commutation!$A$5:$E$65,5,FALSE())-VLOOKUP(Paramètres!$B$13+Paramètres!$B$6,Commutation!$A$5:$E$65,5,FALSE()))/VLOOKUP(Paramètres!$B$13+12,Commutation!$A$5:$E$65,2,FALSE())</f>
        <v>-34315.832267272</v>
      </c>
      <c r="C17" s="6">
        <f>(Paramètres!$C$14/VLOOKUP(Paramètres!$C$13+12,Tables_CIMA!$E$5:$H$65,2,FALSE()))*SUMPRODUCT((Calcul_PP!$A$5:$A$19&gt;=12)*(Calcul_PP!$A$5:$A$19&lt;Paramètres!$B$6)*Calcul_PP!$B$5:$B$19*Calcul_PP!$L$5:$L$19*POWER(1/(1+Paramètres!$B$8),Calcul_PP!$A$5:$A$19-12+0.5))-Tarification!$C$23*(VLOOKUP(Paramètres!$C$13+12,Commutation!$F$5:$J$65,5,FALSE())-VLOOKUP(Paramètres!$C$13+Paramètres!$B$6,Commutation!$F$5:$J$65,5,FALSE()))/VLOOKUP(Paramètres!$C$13+12,Commutation!$F$5:$J$65,2,FALSE())</f>
        <v>-6643.63085291473</v>
      </c>
      <c r="D17" s="6">
        <f t="shared" si="0"/>
        <v>-40959.4631201867</v>
      </c>
      <c r="E17" s="6">
        <f>Tarification!B23</f>
        <v>23952.1065987448</v>
      </c>
      <c r="F17" s="7">
        <f>(B17+Tarification!$B$23)*(1+Paramètres!$B$8)-Paramètres!$B$14*VLOOKUP(12,Calcul_PP!$A$5:$B$19,2,FALSE())*VLOOKUP(Paramètres!$B$13+12,Tables_CIMA!$A$5:$D$65,4,FALSE())*SQRT(1+Paramètres!$B$8)-(1-VLOOKUP(Paramètres!$B$13+12,Tables_CIMA!$A$5:$D$65,4,FALSE()))*B18</f>
        <v>1.23691279441118e-10</v>
      </c>
      <c r="G17" s="6">
        <f>Tarification!C23</f>
        <v>4801.69366451515</v>
      </c>
      <c r="H17" s="7">
        <f>(C17+Tarification!$C$23)*(1+Paramètres!$B$8)-Paramètres!$C$14*VLOOKUP(12,Calcul_PP!$A$5:$B$19,2,FALSE())*VLOOKUP(Paramètres!$C$13+12,Tables_CIMA!$E$5:$H$65,4,FALSE())*SQRT(1+Paramètres!$B$8)-(1-VLOOKUP(Paramètres!$C$13+12,Tables_CIMA!$E$5:$H$65,4,FALSE()))*C18</f>
        <v>1.54614099301398e-11</v>
      </c>
    </row>
    <row r="18" ht="14.25" customHeight="1" spans="1:8">
      <c r="A18" s="8">
        <v>13</v>
      </c>
      <c r="B18" s="9">
        <f>(Paramètres!$B$14/VLOOKUP(Paramètres!$B$13+13,Tables_CIMA!$A$5:$D$65,2,FALSE()))*SUMPRODUCT((Calcul_PP!$A$5:$A$19&gt;=13)*(Calcul_PP!$A$5:$A$19&lt;Paramètres!$B$6)*Calcul_PP!$B$5:$B$19*Calcul_PP!$E$5:$E$19*POWER(1/(1+Paramètres!$B$8),Calcul_PP!$A$5:$A$19-13+0.5))-Tarification!$B$23*(VLOOKUP(Paramètres!$B$13+13,Commutation!$A$5:$E$65,5,FALSE())-VLOOKUP(Paramètres!$B$13+Paramètres!$B$6,Commutation!$A$5:$E$65,5,FALSE()))/VLOOKUP(Paramètres!$B$13+13,Commutation!$A$5:$E$65,2,FALSE())</f>
        <v>-28245.2877731334</v>
      </c>
      <c r="C18" s="9">
        <f>(Paramètres!$C$14/VLOOKUP(Paramètres!$C$13+13,Tables_CIMA!$E$5:$H$65,2,FALSE()))*SUMPRODUCT((Calcul_PP!$A$5:$A$19&gt;=13)*(Calcul_PP!$A$5:$A$19&lt;Paramètres!$B$6)*Calcul_PP!$B$5:$B$19*Calcul_PP!$L$5:$L$19*POWER(1/(1+Paramètres!$B$8),Calcul_PP!$A$5:$A$19-13+0.5))-Tarification!$C$23*(VLOOKUP(Paramètres!$C$13+13,Commutation!$F$5:$J$65,5,FALSE())-VLOOKUP(Paramètres!$C$13+Paramètres!$B$6,Commutation!$F$5:$J$65,5,FALSE()))/VLOOKUP(Paramètres!$C$13+13,Commutation!$F$5:$J$65,2,FALSE())</f>
        <v>-5529.84995749983</v>
      </c>
      <c r="D18" s="9">
        <f t="shared" si="0"/>
        <v>-33775.1377306332</v>
      </c>
      <c r="E18" s="9">
        <f>Tarification!B23</f>
        <v>23952.1065987448</v>
      </c>
      <c r="F18" s="10">
        <f>(B18+Tarification!$B$23)*(1+Paramètres!$B$8)-Paramètres!$B$14*VLOOKUP(13,Calcul_PP!$A$5:$B$19,2,FALSE())*VLOOKUP(Paramètres!$B$13+13,Tables_CIMA!$A$5:$D$65,4,FALSE())*SQRT(1+Paramètres!$B$8)-(1-VLOOKUP(Paramètres!$B$13+13,Tables_CIMA!$A$5:$D$65,4,FALSE()))*B19</f>
        <v>0</v>
      </c>
      <c r="G18" s="9">
        <f>Tarification!C23</f>
        <v>4801.69366451515</v>
      </c>
      <c r="H18" s="10">
        <f>(C18+Tarification!$C$23)*(1+Paramètres!$B$8)-Paramètres!$C$14*VLOOKUP(13,Calcul_PP!$A$5:$B$19,2,FALSE())*VLOOKUP(Paramètres!$C$13+13,Tables_CIMA!$E$5:$H$65,4,FALSE())*SQRT(1+Paramètres!$B$8)-(1-VLOOKUP(Paramètres!$C$13+13,Tables_CIMA!$E$5:$H$65,4,FALSE()))*C19</f>
        <v>-5.45696821063757e-12</v>
      </c>
    </row>
    <row r="19" ht="14.25" customHeight="1" spans="1:8">
      <c r="A19" s="5">
        <v>14</v>
      </c>
      <c r="B19" s="6">
        <f>(Paramètres!$B$14/VLOOKUP(Paramètres!$B$13+14,Tables_CIMA!$A$5:$D$65,2,FALSE()))*SUMPRODUCT((Calcul_PP!$A$5:$A$19&gt;=14)*(Calcul_PP!$A$5:$A$19&lt;Paramètres!$B$6)*Calcul_PP!$B$5:$B$19*Calcul_PP!$E$5:$E$19*POWER(1/(1+Paramètres!$B$8),Calcul_PP!$A$5:$A$19-14+0.5))-Tarification!$B$23*(VLOOKUP(Paramètres!$B$13+14,Commutation!$A$5:$E$65,5,FALSE())-VLOOKUP(Paramètres!$B$13+Paramètres!$B$6,Commutation!$A$5:$E$65,5,FALSE()))/VLOOKUP(Paramètres!$B$13+14,Commutation!$A$5:$E$65,2,FALSE())</f>
        <v>-17237.5221192706</v>
      </c>
      <c r="C19" s="6">
        <f>(Paramètres!$C$14/VLOOKUP(Paramètres!$C$13+14,Tables_CIMA!$E$5:$H$65,2,FALSE()))*SUMPRODUCT((Calcul_PP!$A$5:$A$19&gt;=14)*(Calcul_PP!$A$5:$A$19&lt;Paramètres!$B$6)*Calcul_PP!$B$5:$B$19*Calcul_PP!$L$5:$L$19*POWER(1/(1+Paramètres!$B$8),Calcul_PP!$A$5:$A$19-14+0.5))-Tarification!$C$23*(VLOOKUP(Paramètres!$C$13+14,Commutation!$F$5:$J$65,5,FALSE())-VLOOKUP(Paramètres!$C$13+Paramètres!$B$6,Commutation!$F$5:$J$65,5,FALSE()))/VLOOKUP(Paramètres!$C$13+14,Commutation!$F$5:$J$65,2,FALSE())</f>
        <v>-3403.50302985737</v>
      </c>
      <c r="D19" s="6">
        <f t="shared" si="0"/>
        <v>-20641.025149128</v>
      </c>
      <c r="E19" s="6">
        <f>Tarification!B23</f>
        <v>23952.1065987448</v>
      </c>
      <c r="F19" s="7">
        <f>(B19+Tarification!$B$23)*(1+Paramètres!$B$8)-Paramètres!$B$14*VLOOKUP(14,Calcul_PP!$A$5:$B$19,2,FALSE())*VLOOKUP(Paramètres!$B$13+14,Tables_CIMA!$A$5:$D$65,4,FALSE())*SQRT(1+Paramètres!$B$8)-(1-VLOOKUP(Paramètres!$B$13+14,Tables_CIMA!$A$5:$D$65,4,FALSE()))*B20</f>
        <v>2.5465851649642e-11</v>
      </c>
      <c r="G19" s="6">
        <f>Tarification!C23</f>
        <v>4801.69366451515</v>
      </c>
      <c r="H19" s="7">
        <f>(C19+Tarification!$C$23)*(1+Paramètres!$B$8)-Paramètres!$C$14*VLOOKUP(14,Calcul_PP!$A$5:$B$19,2,FALSE())*VLOOKUP(Paramètres!$C$13+14,Tables_CIMA!$E$5:$H$65,4,FALSE())*SQRT(1+Paramètres!$B$8)-(1-VLOOKUP(Paramètres!$C$13+14,Tables_CIMA!$E$5:$H$65,4,FALSE()))*C20</f>
        <v>1.04591890703887e-11</v>
      </c>
    </row>
    <row r="20" ht="14.25" customHeight="1" spans="1:8">
      <c r="A20" s="8">
        <v>15</v>
      </c>
      <c r="B20" s="9">
        <v>0</v>
      </c>
      <c r="C20" s="9">
        <v>0</v>
      </c>
      <c r="D20" s="9">
        <v>0</v>
      </c>
      <c r="E20" s="9">
        <f>Tarification!B23</f>
        <v>23952.1065987448</v>
      </c>
      <c r="F20" s="11"/>
      <c r="G20" s="9">
        <f>Tarification!C23</f>
        <v>4801.69366451515</v>
      </c>
      <c r="H20" s="11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Amortissement</vt:lpstr>
      <vt:lpstr>Commutation</vt:lpstr>
      <vt:lpstr>Paramètres</vt:lpstr>
      <vt:lpstr>Tarification</vt:lpstr>
      <vt:lpstr>Tableau_de_Bord</vt:lpstr>
      <vt:lpstr>Tables_CIMA</vt:lpstr>
      <vt:lpstr>Calcul_PP</vt:lpstr>
      <vt:lpstr>Provisions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Samson AWOUTO</cp:lastModifiedBy>
  <cp:revision>0</cp:revision>
  <dcterms:created xsi:type="dcterms:W3CDTF">2026-03-23T19:05:00Z</dcterms:created>
  <dcterms:modified xsi:type="dcterms:W3CDTF">2026-04-05T20:41:31Z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2B3AEAC5BBEC49A39EF2BA562EE8A58A_12</vt:lpwstr>
  </property>
  <property fmtid="{D5CDD505-2E9C-101B-9397-08002B2CF9AE}" pid="3" name="KSOProductBuildVer">
    <vt:lpwstr>1036-12.2.0.23196</vt:lpwstr>
  </property>
</Properties>
</file>